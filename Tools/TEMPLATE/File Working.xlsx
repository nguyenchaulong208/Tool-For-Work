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E:\Github Code\Tool-For-Work\Tools\TEMPLATE\"/>
    </mc:Choice>
  </mc:AlternateContent>
  <xr:revisionPtr revIDLastSave="0" documentId="13_ncr:1_{3A078638-8923-425A-9225-67AE228094A9}" xr6:coauthVersionLast="47" xr6:coauthVersionMax="47" xr10:uidLastSave="{00000000-0000-0000-0000-000000000000}"/>
  <bookViews>
    <workbookView xWindow="28680" yWindow="-120" windowWidth="29040" windowHeight="15840" activeTab="3" xr2:uid="{00000000-000D-0000-FFFF-FFFF00000000}"/>
  </bookViews>
  <sheets>
    <sheet name="DATA_RAW" sheetId="1" r:id="rId1"/>
    <sheet name="DATA_PROC" sheetId="2" r:id="rId2"/>
    <sheet name="DATA_DONE (2)" sheetId="3" r:id="rId3"/>
    <sheet name="DATA_DONE" sheetId="4" r:id="rId4"/>
  </sheets>
  <definedNames>
    <definedName name="_xlnm._FilterDatabase" localSheetId="0" hidden="1">DATA_RAW!$A$7:$V$26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3" i="1" l="1"/>
  <c r="W2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DELL</author>
  </authors>
  <commentList>
    <comment ref="J27" authorId="0" shapeId="0" xr:uid="{00000000-0006-0000-0000-000001000000}">
      <text>
        <r>
          <rPr>
            <sz val="11"/>
            <color theme="1"/>
            <rFont val="Aptos Narrow"/>
            <family val="2"/>
            <scheme val="minor"/>
          </rPr>
          <t xml:space="preserve">DELL: VAT tiền dịch vụ của Libra (8%)
</t>
        </r>
      </text>
    </comment>
    <comment ref="J28" authorId="0" shapeId="0" xr:uid="{00000000-0006-0000-0000-000002000000}">
      <text>
        <r>
          <rPr>
            <sz val="11"/>
            <color theme="1"/>
            <rFont val="Aptos Narrow"/>
            <family val="2"/>
            <scheme val="minor"/>
          </rPr>
          <t xml:space="preserve">DELL: Tiền dịch vụ của Libra đã bao gồm VAT 8%=&gt; Đây là số tiền mà em gửi cho a Hà để a ấy xuất hóa đơn dịch vụ của Libra
</t>
        </r>
      </text>
    </comment>
    <comment ref="G29" authorId="0" shapeId="0" xr:uid="{00000000-0006-0000-0000-000003000000}">
      <text>
        <r>
          <rPr>
            <sz val="11"/>
            <color theme="1"/>
            <rFont val="Aptos Narrow"/>
            <family val="2"/>
            <scheme val="minor"/>
          </rPr>
          <t xml:space="preserve">DELL: Tiền Dịch Vụ của Libra (chưa có VAT)
</t>
        </r>
      </text>
    </comment>
    <comment ref="G30" authorId="0" shapeId="0" xr:uid="{00000000-0006-0000-0000-000004000000}">
      <text>
        <r>
          <rPr>
            <sz val="11"/>
            <color theme="1"/>
            <rFont val="Aptos Narrow"/>
            <family val="2"/>
            <scheme val="minor"/>
          </rPr>
          <t xml:space="preserve">DELL: VAT tiền dịch vụ của Libra (8%)
</t>
        </r>
      </text>
    </comment>
    <comment ref="G31" authorId="0" shapeId="0" xr:uid="{00000000-0006-0000-0000-000005000000}">
      <text>
        <r>
          <rPr>
            <sz val="11"/>
            <color theme="1"/>
            <rFont val="Aptos Narrow"/>
            <family val="2"/>
            <scheme val="minor"/>
          </rPr>
          <t xml:space="preserve">DELL: Tiền dịch vụ của Libra đã bao gồm VAT 8%=&gt; Đây là số tiền mà em gửi cho a Hà để a ấy xuất hóa đơn dịch vụ của Libra
</t>
        </r>
      </text>
    </comment>
    <comment ref="H31" authorId="0" shapeId="0" xr:uid="{00000000-0006-0000-0000-000006000000}">
      <text>
        <r>
          <rPr>
            <sz val="11"/>
            <color theme="1"/>
            <rFont val="Aptos Narrow"/>
            <family val="2"/>
            <scheme val="minor"/>
          </rPr>
          <t xml:space="preserve">DELL: Tiền hóa đơn chi hộ cho Damco (đã có VAT 8%)
</t>
        </r>
      </text>
    </comment>
    <comment ref="I31" authorId="0" shapeId="0" xr:uid="{00000000-0006-0000-0000-000007000000}">
      <text>
        <r>
          <rPr>
            <sz val="11"/>
            <color theme="1"/>
            <rFont val="Aptos Narrow"/>
            <family val="2"/>
            <scheme val="minor"/>
          </rPr>
          <t xml:space="preserve">DELL: Tổng tiền dịch vụ của Libra và tiền hóa đơn chi hộ=&gt; Đây là tổng số tiền Damco phải trả cho Libra
</t>
        </r>
      </text>
    </comment>
  </commentList>
</comments>
</file>

<file path=xl/sharedStrings.xml><?xml version="1.0" encoding="utf-8"?>
<sst xmlns="http://schemas.openxmlformats.org/spreadsheetml/2006/main" count="399" uniqueCount="214">
  <si>
    <t>Số chứng từ</t>
  </si>
  <si>
    <t>Mã dịch vụ</t>
  </si>
  <si>
    <t>Diễn giải</t>
  </si>
  <si>
    <t>Biển kiểm soát</t>
  </si>
  <si>
    <t>Đơn vị tính</t>
  </si>
  <si>
    <t>Số lượng</t>
  </si>
  <si>
    <t>Đơn giá</t>
  </si>
  <si>
    <t>CT000001</t>
  </si>
  <si>
    <t>Phí dịch vụ thủ tục Hải quan lô hàng: PNBVV2736</t>
  </si>
  <si>
    <t>PO 9178190629</t>
  </si>
  <si>
    <t>CT000002</t>
  </si>
  <si>
    <t>Phí dịch vụ thủ tục Hải quan lô hàng: PNBVV2737</t>
  </si>
  <si>
    <t>PO 9178469179</t>
  </si>
  <si>
    <t>CT000003</t>
  </si>
  <si>
    <t>Phí dịch vụ thủ tục Hải quan lô hàng: PNBVV2738</t>
  </si>
  <si>
    <t>PO 9178469181</t>
  </si>
  <si>
    <t>CT000004</t>
  </si>
  <si>
    <t>Phí dịch vụ thủ tục Hải quan lô hàng: PNBVV2739</t>
  </si>
  <si>
    <t>Cước vận chuyển xe tải 1T từ Sân bay Tân Sơn Nhất đến Vincome Phường Sài Gòn và Crescent Mall, Phường Tân Mỹ - lô hàng: PNBVV2739</t>
  </si>
  <si>
    <t>PO 9178469183</t>
  </si>
  <si>
    <t>CT000005</t>
  </si>
  <si>
    <t>Phí dịch vụ thủ tục Hải quan lô hàng: PNBVV2740</t>
  </si>
  <si>
    <t>PO 9178469185</t>
  </si>
  <si>
    <t>CT000006</t>
  </si>
  <si>
    <t>Phí dịch vụ thủ tục Hải quan lô hàng: STRVV1783</t>
  </si>
  <si>
    <t>PO 9178190633</t>
  </si>
  <si>
    <t>CT000007</t>
  </si>
  <si>
    <t>Phí dịch vụ thủ tục Hải quan lô hàng: STRVV1784</t>
  </si>
  <si>
    <t>Cước vận chuyển xe tải 1T từ Sân bay Tân Sơn Nhất đến Vincome Phường Sài Gòn và Crescent Mall, Phường Tân Mỹ - lô hàng: STRVV1784</t>
  </si>
  <si>
    <t>PO 9178190635</t>
  </si>
  <si>
    <t>CT000008</t>
  </si>
  <si>
    <t>Phí dịch vụ thủ tục Hải quan lô hàng: STRVV1785</t>
  </si>
  <si>
    <t>PO 9178190637</t>
  </si>
  <si>
    <t>CT000009</t>
  </si>
  <si>
    <t>Phí dịch vụ thủ tục Hải quan lô hàng: STRVV1786</t>
  </si>
  <si>
    <t>PO 9178523110</t>
  </si>
  <si>
    <t>CT000010</t>
  </si>
  <si>
    <t>Phí dịch vụ thủ tục Hải quan lô hàng: MSDVV2005</t>
  </si>
  <si>
    <t>PO 9178190650</t>
  </si>
  <si>
    <t>CT000011</t>
  </si>
  <si>
    <t>Phí dịch vụ thủ tục Hải quan lô hàng: MSDVV2006</t>
  </si>
  <si>
    <t>Cước vận chuyển xe tải 1T từ Sân bay Tân Sơn Nhất đến Vincome Phường Sài Gòn và Crescent Mall, Phường Tân Mỹ - lô hàng: MSDVV2006</t>
  </si>
  <si>
    <t>PO 9178190652</t>
  </si>
  <si>
    <t>CT000012</t>
  </si>
  <si>
    <t>Phí dịch vụ thủ tục Hải quan lô hàng: MSDVV2007</t>
  </si>
  <si>
    <t>PO 9178190653</t>
  </si>
  <si>
    <t>CT000013</t>
  </si>
  <si>
    <t>Phí dịch vụ thủ tục Hải quan lô hàng: MSDVV2008</t>
  </si>
  <si>
    <t>Cước vận chuyển xe tải 1T từ Sân bay Tân Sơn Nhất đến Vincome Phường Sài Gòn và Crescent Mall, Phường Tân Mỹ - lô hàng: MSDVV2008</t>
  </si>
  <si>
    <t>PO 9178469195</t>
  </si>
  <si>
    <t>CT000014</t>
  </si>
  <si>
    <t>Phí dịch vụ thủ tục Hải quan lô hàng: VSVE70</t>
  </si>
  <si>
    <t>PO 9178489004</t>
  </si>
  <si>
    <t>CT000015</t>
  </si>
  <si>
    <t>Phí dịch vụ thủ tục Hải quan lô hàng: VSVE71</t>
  </si>
  <si>
    <t>PO 9178489005</t>
  </si>
  <si>
    <t>CT000016</t>
  </si>
  <si>
    <t>Phí dịch vụ thủ tục Hải quan lô hàng: VSVE72</t>
  </si>
  <si>
    <t>Cước vận chuyển xe tải 2T từ Sân Bay Tân Sơn Nhất đến đến Kho Delta- lô hàng: VSVE72</t>
  </si>
  <si>
    <t>PO 9178489006</t>
  </si>
  <si>
    <t>Tên công ty:</t>
  </si>
  <si>
    <t>Công ty TNHH Thương Mại LIBRA Việt Nam</t>
  </si>
  <si>
    <t>Địa chỉ:</t>
  </si>
  <si>
    <t>Tầng 12, Tòa nhà Hải Âu, 39B Trường Sơn, Phường 4, Quận Tân Bình, Thành phố Hồ Chí Minh, Việt Nam</t>
  </si>
  <si>
    <t>Paid to vendor LIBRA --5516073</t>
  </si>
  <si>
    <t>Mã số thuế:</t>
  </si>
  <si>
    <t>0312526278</t>
  </si>
  <si>
    <t>Total:</t>
  </si>
  <si>
    <t>Service fee: (included VAT)</t>
  </si>
  <si>
    <t>VND</t>
  </si>
  <si>
    <t xml:space="preserve">Invoice no: 1C26TLV </t>
  </si>
  <si>
    <t>BẢNG KÊ DỊCH VỤ GIAO NHẬN THÁNG 05/2026- HÀNG HCM</t>
  </si>
  <si>
    <t>PO#</t>
  </si>
  <si>
    <t>Shipment</t>
  </si>
  <si>
    <t>2G</t>
  </si>
  <si>
    <t>Total</t>
  </si>
  <si>
    <t>Chi hộ MAP</t>
  </si>
  <si>
    <t>TTHQ</t>
  </si>
  <si>
    <t>Dán nhãn/ Chỉnh Bill/ Bổ sung Manifest/ Hủy TK/ Lệch kg</t>
  </si>
  <si>
    <t>Trucking</t>
  </si>
  <si>
    <t>Dịch vụ</t>
  </si>
  <si>
    <t>Dán nhãn+TR đã VAT</t>
  </si>
  <si>
    <t xml:space="preserve">CH đã VAT </t>
  </si>
  <si>
    <t>Chi hộ</t>
  </si>
  <si>
    <t>Tổng đã VAT</t>
  </si>
  <si>
    <t>So sánh</t>
  </si>
  <si>
    <t>PNBVV2736</t>
  </si>
  <si>
    <t>PO 9177943570</t>
  </si>
  <si>
    <t>PNBVV2737</t>
  </si>
  <si>
    <t>PO 9177943572</t>
  </si>
  <si>
    <t>PNBVV2738</t>
  </si>
  <si>
    <t>PNBVV2730</t>
  </si>
  <si>
    <t>COMBINE</t>
  </si>
  <si>
    <t>PO 9177943574</t>
  </si>
  <si>
    <t>PNBVV2739</t>
  </si>
  <si>
    <t>50H00155</t>
  </si>
  <si>
    <t>1T</t>
  </si>
  <si>
    <t>CAT LAI- VC</t>
  </si>
  <si>
    <t>PO 9178190643</t>
  </si>
  <si>
    <t>PNBVV2740</t>
  </si>
  <si>
    <t>PO 9178190645</t>
  </si>
  <si>
    <t>STRVV1783</t>
  </si>
  <si>
    <t>PNBVV2733</t>
  </si>
  <si>
    <t>PO 9178190647</t>
  </si>
  <si>
    <t>STRVV1784</t>
  </si>
  <si>
    <t>PO 9177933965</t>
  </si>
  <si>
    <t>STRVV1785</t>
  </si>
  <si>
    <t>PO 9177933967</t>
  </si>
  <si>
    <t>STRVV1786</t>
  </si>
  <si>
    <t>PO 9177933969</t>
  </si>
  <si>
    <t>MSDVV2005</t>
  </si>
  <si>
    <t>50H15770</t>
  </si>
  <si>
    <t>SB- VC+ CR</t>
  </si>
  <si>
    <t>PO 9177933971</t>
  </si>
  <si>
    <t>MSDVV2006</t>
  </si>
  <si>
    <t>PO 9178190621</t>
  </si>
  <si>
    <t>MSDVV2007</t>
  </si>
  <si>
    <t>PO 9178190623</t>
  </si>
  <si>
    <t>MSDVV2008</t>
  </si>
  <si>
    <t>PO 9178190625</t>
  </si>
  <si>
    <t>VSVE70</t>
  </si>
  <si>
    <t>SB- VC</t>
  </si>
  <si>
    <t>PO 9178190627</t>
  </si>
  <si>
    <t>VSVE71</t>
  </si>
  <si>
    <t>PO 9177943562</t>
  </si>
  <si>
    <t>VSVE72</t>
  </si>
  <si>
    <t>PO 9177943564</t>
  </si>
  <si>
    <t>PO 9178190631</t>
  </si>
  <si>
    <t>50H17147, 50H17474, 50H36827, 50H55244</t>
  </si>
  <si>
    <t>2.5T</t>
  </si>
  <si>
    <t>SB-DELTA</t>
  </si>
  <si>
    <t>PO 9177943577</t>
  </si>
  <si>
    <t>CÔNG TY TNHH THƯƠNG MẠI LIBRA VIỆT NAM</t>
  </si>
  <si>
    <t>MST: 0312526278</t>
  </si>
  <si>
    <t>Tầng 12, Tòa nhà Hải Âu, 39B Trường Sơn, Phường Tân Sơn Nhất, Thành phố Hồ Chí Minh, Việt Nam</t>
  </si>
  <si>
    <t>Tài khoản: 0441000653330 - Tại: NH Vietcombank - PGD Etown 2, Quận Tân Bình</t>
  </si>
  <si>
    <t>VP Hồ Chí Minh:Tầng 3, tòa nhà D-Eyes, 371 Nguyễn Kiệm, Phường Hạnh Thông, 
TP. Hồ Chí Minh</t>
  </si>
  <si>
    <t>VP Hà Nội:  101 A6 Vĩnh Hồ, 
Phường Đống Đa, 
TP. Hà Nội</t>
  </si>
  <si>
    <t>VP Hải Phòng: 330 Phan Đăng Lưu, Phường Kiến An, 
TP. Hải Phòng</t>
  </si>
  <si>
    <t>VP Đà Nẵng: 126 Trương Quang Được, Phường Ngũ Hành Sơn, 
TP. Đà Nẵng</t>
  </si>
  <si>
    <t xml:space="preserve">BẢNG KÊ CHI TIẾT DỊCH VỤ </t>
  </si>
  <si>
    <t>Khách hàng: CÔNG TY TNHH MAERSK LOGISTICS &amp; SERVICES VIỆT NAM</t>
  </si>
  <si>
    <t>MST:</t>
  </si>
  <si>
    <t>Tầng 16&amp;17, Khu cao ốc văn phòng - thương mại - dịch vụ tại lô 5.5, số 8-10 đường Mai Chí Thọ, Phường An Khánh, Thành
phố Hồ Chí Minh, Việt Nam</t>
  </si>
  <si>
    <t xml:space="preserve">Số AWB/BL/Booking: </t>
  </si>
  <si>
    <t xml:space="preserve">Số tờ khai: </t>
  </si>
  <si>
    <t>STT</t>
  </si>
  <si>
    <t>Tên  hàng hóa, dịch vụ:</t>
  </si>
  <si>
    <t>ĐVT</t>
  </si>
  <si>
    <t>SL</t>
  </si>
  <si>
    <t>Đơn giá dịch vụ</t>
  </si>
  <si>
    <t>VAT</t>
  </si>
  <si>
    <t>Thành tiền</t>
  </si>
  <si>
    <t>Số tiền</t>
  </si>
  <si>
    <t>Số hóa đơn chi hộ</t>
  </si>
  <si>
    <t>Ghi chú</t>
  </si>
  <si>
    <t>Phí dịch vụ thủ tục Hải quan lô hàng:</t>
  </si>
  <si>
    <t>lô hàng</t>
  </si>
  <si>
    <t>Cước vận chuyển xe tải 1T từ Sân bay Tân Sơn Nhất đến Vincome Phường Sài Gòn và Crescent Mall, Phường Tân Mỹ - lô hàng:</t>
  </si>
  <si>
    <t>PNBVV2739, MSDVV2008</t>
  </si>
  <si>
    <t>50H15570</t>
  </si>
  <si>
    <t>chuyến</t>
  </si>
  <si>
    <t>STRVV1784, MSDVV2006</t>
  </si>
  <si>
    <t>Cước vận chuyển xe tải 2T từ Sân Bay Tân Sơn Nhất đến đến Kho Delta- lô hàng:</t>
  </si>
  <si>
    <t>50H17474</t>
  </si>
  <si>
    <t>BH276001</t>
  </si>
  <si>
    <t>DVHQ</t>
  </si>
  <si>
    <t>Phí dịch vụ thủ tục Hải quan lô hàng: MSDVV1999</t>
  </si>
  <si>
    <t>BH276002</t>
  </si>
  <si>
    <t>Phí dịch vụ thủ tục Hải quan lô hàng: MSDVV2000</t>
  </si>
  <si>
    <t>BH276003</t>
  </si>
  <si>
    <t>Phí dịch vụ thủ tục Hải quan lô hàng: MSDVV2001</t>
  </si>
  <si>
    <t>DVVC2</t>
  </si>
  <si>
    <t>Cước vận chuyển xe tải 1T từ Sân bay Tân Sơn Nhất đến Vincom Phường Sài Gòn và Crescent Mall, Phường Tân Mỹ - lô hàng: MSDVV2001</t>
  </si>
  <si>
    <t>BH276004</t>
  </si>
  <si>
    <t>Phí dịch vụ thủ tục Hải quan lô hàng: MSDVV2002</t>
  </si>
  <si>
    <t>Cước vận chuyển xe tải 1T từ Cát Lái đến Vincom Phường Sài Gòn - lô hàng: MSDVV2002</t>
  </si>
  <si>
    <t>BH276005</t>
  </si>
  <si>
    <t>Phí dịch vụ thủ tục Hải quan lô hàng: MSDVV2003</t>
  </si>
  <si>
    <t>BH276006</t>
  </si>
  <si>
    <t>Phí dịch vụ thủ tục Hải quan lô hàng: MSDVV2004</t>
  </si>
  <si>
    <t>Cước vận chuyển xe tải 1T từ Sân bay Tân Sơn Nhất đến Vincom Phường Sài Gòn và Crescent Mall, Phường Tân Mỹ - lô hàng: MSDVV2004</t>
  </si>
  <si>
    <t>BH276007</t>
  </si>
  <si>
    <t>Phí dịch vụ thủ tục Hải quan lô hàng: PNBVV2727</t>
  </si>
  <si>
    <t>BH276008</t>
  </si>
  <si>
    <t>Phí dịch vụ thủ tục Hải quan lô hàng: PNBVV2728</t>
  </si>
  <si>
    <t>BH276009</t>
  </si>
  <si>
    <t>Phí dịch vụ thủ tục Hải quan lô hàng: PNBVV2729</t>
  </si>
  <si>
    <t>BH276010</t>
  </si>
  <si>
    <t>Phí dịch vụ thủ tục Hải quan lô hàng: PNBVV2730</t>
  </si>
  <si>
    <t>Cước vận chuyển xe tải 1T từ Sân bay Tân Sơn Nhất đến Vincom Phường Sài Gòn và Crescent Mall, Phường Tân Mỹ - lô hàng: PNBVV2730, MSDVV2001</t>
  </si>
  <si>
    <t>BH276011</t>
  </si>
  <si>
    <t>Phí dịch vụ thủ tục Hải quan lô hàng: PNBVV2731</t>
  </si>
  <si>
    <t>BH276012</t>
  </si>
  <si>
    <t>Phí dịch vụ thủ tục Hải quan lô hàng: PNBVV2732</t>
  </si>
  <si>
    <t>BH276013</t>
  </si>
  <si>
    <t>Phí dịch vụ thủ tục Hải quan lô hàng: PNBVV2733</t>
  </si>
  <si>
    <t>Cước vận chuyển xe tải 1T từ Sân bay Tân Sơn Nhất đến Vincom Phường Sài Gòn và Crescent Mall, Phường Tân Mỹ - lô hàng: PNBVV2733, MSDVV2004</t>
  </si>
  <si>
    <t>BH276014</t>
  </si>
  <si>
    <t>Phí dịch vụ thủ tục Hải quan lô hàng: PNBVV2734</t>
  </si>
  <si>
    <t>Cước vận chuyển xe tải 1T từ Sân bay Tân Sơn Nhất đến Vincom Phường Sài Gòn - lô hàng: PNBVV2734</t>
  </si>
  <si>
    <t>chuyếnn</t>
  </si>
  <si>
    <t>BH276015</t>
  </si>
  <si>
    <t>Phí dịch vụ thủ tục Hải quan lô hàng: STRVV1780</t>
  </si>
  <si>
    <t>BH276016</t>
  </si>
  <si>
    <t>Phí dịch vụ thủ tục Hải quan lô hàng: STRVV1781</t>
  </si>
  <si>
    <t>BH276017</t>
  </si>
  <si>
    <t>Phí dịch vụ thủ tục Hải quan lô hàng: STRVV1782</t>
  </si>
  <si>
    <t>BH276018</t>
  </si>
  <si>
    <t>Phí dịch vụ thủ tục Hải quan lô hàng: VSVD2</t>
  </si>
  <si>
    <t>Cước vận chuyển xe tải 2T từ Sân bay Tân Sơn Nhất đến Cát Lái, Bình Dương - lô hàng: VSVD2</t>
  </si>
  <si>
    <t>50H17147</t>
  </si>
  <si>
    <t>50H36827</t>
  </si>
  <si>
    <t>50H55244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</si>
</sst>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(* #,##0_);_(* \(#,##0\);_(* &quot;-&quot;??_);_(@_)"/>
    <numFmt numFmtId="165" formatCode="_-* #,##0_-;\-* #,##0_-;_-* &quot;-&quot;??_-;_-@_-"/>
    <numFmt numFmtId="166" formatCode="_-* #,##0\ _₫_-;\-* #,##0\ _₫_-;_-* &quot;-&quot;??\ _₫_-;_-@_-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Times New Roman"/>
      <family val="1"/>
    </font>
    <font>
      <b/>
      <sz val="11"/>
      <color rgb="FFFF0000"/>
      <name val="Times New Roman"/>
      <family val="1"/>
    </font>
    <font>
      <sz val="11"/>
      <color theme="1"/>
      <name val="Aptos Narrow"/>
      <family val="2"/>
      <charset val="163"/>
      <scheme val="minor"/>
    </font>
    <font>
      <b/>
      <sz val="12"/>
      <name val="Times New Roman"/>
      <family val="1"/>
    </font>
    <font>
      <sz val="12"/>
      <name val="Times New Roman"/>
      <family val="1"/>
    </font>
    <font>
      <b/>
      <sz val="12"/>
      <color rgb="FFFF0000"/>
      <name val="Times New Roman"/>
      <family val="1"/>
    </font>
    <font>
      <sz val="11"/>
      <color theme="1"/>
      <name val="Times New Roman"/>
      <family val="1"/>
    </font>
    <font>
      <b/>
      <sz val="11"/>
      <name val="Times New Roman"/>
      <family val="1"/>
    </font>
    <font>
      <b/>
      <sz val="11"/>
      <name val="Times New Roman"/>
      <family val="1"/>
      <charset val="163"/>
    </font>
    <font>
      <sz val="11"/>
      <name val="Times New Roman"/>
      <family val="1"/>
    </font>
    <font>
      <b/>
      <sz val="10"/>
      <color theme="1"/>
      <name val="Times New Roman"/>
      <family val="1"/>
    </font>
    <font>
      <u/>
      <sz val="11"/>
      <color theme="10"/>
      <name val="Times New Roman"/>
      <family val="2"/>
    </font>
    <font>
      <b/>
      <sz val="12"/>
      <color theme="1"/>
      <name val="Times New Roman"/>
      <family val="1"/>
    </font>
    <font>
      <sz val="10"/>
      <color theme="1"/>
      <name val="Times New Roman"/>
      <family val="1"/>
    </font>
    <font>
      <b/>
      <sz val="10"/>
      <name val="Times New Roman"/>
      <family val="1"/>
    </font>
    <font>
      <b/>
      <sz val="14"/>
      <color theme="1"/>
      <name val="Times New Roman"/>
      <family val="1"/>
    </font>
    <font>
      <sz val="1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28F82D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43" fontId="1" fillId="0" borderId="0"/>
    <xf numFmtId="0" fontId="4" fillId="0" borderId="0"/>
    <xf numFmtId="0" fontId="13" fillId="0" borderId="0"/>
    <xf numFmtId="9" fontId="1" fillId="0" borderId="0"/>
  </cellStyleXfs>
  <cellXfs count="157">
    <xf numFmtId="0" fontId="0" fillId="0" borderId="0" xfId="0"/>
    <xf numFmtId="164" fontId="2" fillId="0" borderId="0" xfId="1" applyNumberFormat="1" applyFont="1"/>
    <xf numFmtId="0" fontId="2" fillId="0" borderId="0" xfId="0" applyFont="1"/>
    <xf numFmtId="43" fontId="3" fillId="2" borderId="0" xfId="0" applyNumberFormat="1" applyFont="1" applyFill="1"/>
    <xf numFmtId="0" fontId="0" fillId="0" borderId="0" xfId="0" quotePrefix="1"/>
    <xf numFmtId="43" fontId="0" fillId="0" borderId="0" xfId="1" applyFont="1"/>
    <xf numFmtId="0" fontId="5" fillId="3" borderId="0" xfId="2" applyFont="1" applyFill="1"/>
    <xf numFmtId="0" fontId="6" fillId="3" borderId="0" xfId="2" applyFont="1" applyFill="1"/>
    <xf numFmtId="43" fontId="7" fillId="3" borderId="0" xfId="2" applyNumberFormat="1" applyFont="1" applyFill="1"/>
    <xf numFmtId="0" fontId="5" fillId="0" borderId="0" xfId="2" applyFont="1"/>
    <xf numFmtId="0" fontId="6" fillId="0" borderId="0" xfId="2" applyFont="1"/>
    <xf numFmtId="164" fontId="7" fillId="0" borderId="0" xfId="2" applyNumberFormat="1" applyFont="1"/>
    <xf numFmtId="0" fontId="8" fillId="0" borderId="0" xfId="0" applyFont="1"/>
    <xf numFmtId="0" fontId="2" fillId="0" borderId="0" xfId="0" applyFont="1" applyAlignment="1">
      <alignment horizontal="left"/>
    </xf>
    <xf numFmtId="164" fontId="9" fillId="0" borderId="0" xfId="1" applyNumberFormat="1" applyFont="1" applyAlignment="1">
      <alignment horizontal="left" vertical="center"/>
    </xf>
    <xf numFmtId="0" fontId="2" fillId="4" borderId="1" xfId="2" applyFont="1" applyFill="1" applyBorder="1" applyAlignment="1">
      <alignment horizontal="center" vertical="center"/>
    </xf>
    <xf numFmtId="164" fontId="2" fillId="4" borderId="1" xfId="1" applyNumberFormat="1" applyFont="1" applyFill="1" applyBorder="1" applyAlignment="1">
      <alignment horizontal="center" vertical="center"/>
    </xf>
    <xf numFmtId="0" fontId="2" fillId="4" borderId="0" xfId="2" applyFont="1" applyFill="1" applyAlignment="1">
      <alignment horizontal="center" vertical="center"/>
    </xf>
    <xf numFmtId="0" fontId="2" fillId="4" borderId="2" xfId="2" applyFont="1" applyFill="1" applyBorder="1" applyAlignment="1">
      <alignment horizontal="center" vertical="center"/>
    </xf>
    <xf numFmtId="0" fontId="2" fillId="3" borderId="1" xfId="0" applyFont="1" applyFill="1" applyBorder="1"/>
    <xf numFmtId="0" fontId="9" fillId="5" borderId="1" xfId="0" applyFont="1" applyFill="1" applyBorder="1"/>
    <xf numFmtId="0" fontId="9" fillId="0" borderId="0" xfId="0" applyFont="1"/>
    <xf numFmtId="0" fontId="10" fillId="0" borderId="1" xfId="0" applyFont="1" applyBorder="1" applyAlignment="1">
      <alignment horizontal="center"/>
    </xf>
    <xf numFmtId="43" fontId="11" fillId="0" borderId="1" xfId="1" applyFont="1" applyBorder="1"/>
    <xf numFmtId="43" fontId="9" fillId="0" borderId="1" xfId="1" applyFont="1" applyBorder="1"/>
    <xf numFmtId="43" fontId="0" fillId="0" borderId="1" xfId="1" applyFont="1" applyBorder="1"/>
    <xf numFmtId="43" fontId="8" fillId="0" borderId="1" xfId="1" applyFont="1" applyBorder="1"/>
    <xf numFmtId="43" fontId="0" fillId="0" borderId="0" xfId="0" applyNumberFormat="1"/>
    <xf numFmtId="43" fontId="0" fillId="0" borderId="1" xfId="0" applyNumberFormat="1" applyBorder="1"/>
    <xf numFmtId="43" fontId="9" fillId="6" borderId="3" xfId="1" applyFont="1" applyFill="1" applyBorder="1"/>
    <xf numFmtId="43" fontId="9" fillId="6" borderId="1" xfId="1" applyFont="1" applyFill="1" applyBorder="1"/>
    <xf numFmtId="43" fontId="2" fillId="0" borderId="0" xfId="1" applyFont="1"/>
    <xf numFmtId="164" fontId="2" fillId="0" borderId="0" xfId="1" applyNumberFormat="1" applyFont="1" applyAlignment="1">
      <alignment vertical="center" wrapText="1"/>
    </xf>
    <xf numFmtId="43" fontId="2" fillId="0" borderId="0" xfId="0" applyNumberFormat="1" applyFont="1" applyAlignment="1">
      <alignment vertical="center" wrapText="1"/>
    </xf>
    <xf numFmtId="0" fontId="2" fillId="0" borderId="0" xfId="0" applyFont="1" applyAlignment="1">
      <alignment vertical="center" wrapText="1"/>
    </xf>
    <xf numFmtId="43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3" fontId="2" fillId="0" borderId="0" xfId="1" applyFont="1" applyAlignment="1">
      <alignment vertical="center" wrapText="1"/>
    </xf>
    <xf numFmtId="43" fontId="2" fillId="0" borderId="0" xfId="0" applyNumberFormat="1" applyFont="1"/>
    <xf numFmtId="0" fontId="13" fillId="0" borderId="0" xfId="3"/>
    <xf numFmtId="0" fontId="2" fillId="0" borderId="1" xfId="0" applyFont="1" applyBorder="1" applyAlignment="1">
      <alignment horizontal="left" vertical="center"/>
    </xf>
    <xf numFmtId="0" fontId="11" fillId="0" borderId="1" xfId="0" applyFont="1" applyBorder="1" applyAlignment="1">
      <alignment horizontal="left" vertical="center" wrapText="1"/>
    </xf>
    <xf numFmtId="43" fontId="2" fillId="3" borderId="0" xfId="0" applyNumberFormat="1" applyFont="1" applyFill="1"/>
    <xf numFmtId="43" fontId="9" fillId="3" borderId="3" xfId="1" applyFont="1" applyFill="1" applyBorder="1"/>
    <xf numFmtId="0" fontId="9" fillId="0" borderId="1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4" fillId="0" borderId="0" xfId="0" applyFont="1" applyAlignment="1">
      <alignment vertical="center"/>
    </xf>
    <xf numFmtId="3" fontId="8" fillId="0" borderId="0" xfId="0" applyNumberFormat="1" applyFont="1" applyAlignment="1">
      <alignment vertical="center"/>
    </xf>
    <xf numFmtId="0" fontId="8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15" fillId="0" borderId="4" xfId="0" applyFont="1" applyBorder="1" applyAlignment="1">
      <alignment horizontal="left" vertical="center" wrapText="1"/>
    </xf>
    <xf numFmtId="0" fontId="15" fillId="0" borderId="4" xfId="0" applyFont="1" applyBorder="1" applyAlignment="1">
      <alignment vertical="center" wrapText="1"/>
    </xf>
    <xf numFmtId="0" fontId="15" fillId="0" borderId="0" xfId="0" applyFont="1" applyAlignment="1">
      <alignment vertical="center" wrapText="1"/>
    </xf>
    <xf numFmtId="0" fontId="16" fillId="0" borderId="0" xfId="0" applyFont="1" applyAlignment="1">
      <alignment horizontal="right" vertical="center"/>
    </xf>
    <xf numFmtId="0" fontId="9" fillId="0" borderId="0" xfId="0" applyFont="1" applyAlignment="1">
      <alignment horizontal="center" vertical="center"/>
    </xf>
    <xf numFmtId="3" fontId="9" fillId="0" borderId="0" xfId="0" applyNumberFormat="1" applyFont="1" applyAlignment="1">
      <alignment horizontal="right" vertical="center"/>
    </xf>
    <xf numFmtId="165" fontId="9" fillId="0" borderId="0" xfId="1" applyNumberFormat="1" applyFont="1" applyAlignment="1">
      <alignment vertical="center"/>
    </xf>
    <xf numFmtId="0" fontId="17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3" borderId="5" xfId="0" applyFont="1" applyFill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3" fontId="15" fillId="0" borderId="0" xfId="0" applyNumberFormat="1" applyFont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2" fillId="3" borderId="2" xfId="0" applyFont="1" applyFill="1" applyBorder="1" applyAlignment="1">
      <alignment vertical="center"/>
    </xf>
    <xf numFmtId="0" fontId="8" fillId="0" borderId="0" xfId="0" quotePrefix="1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3" fontId="15" fillId="0" borderId="0" xfId="0" applyNumberFormat="1" applyFont="1" applyAlignment="1">
      <alignment vertical="center"/>
    </xf>
    <xf numFmtId="0" fontId="2" fillId="3" borderId="9" xfId="0" applyFont="1" applyFill="1" applyBorder="1" applyAlignment="1">
      <alignment horizontal="left" vertical="center"/>
    </xf>
    <xf numFmtId="0" fontId="8" fillId="0" borderId="0" xfId="0" applyFont="1" applyAlignment="1">
      <alignment horizontal="left" vertical="center" wrapText="1"/>
    </xf>
    <xf numFmtId="0" fontId="12" fillId="0" borderId="0" xfId="0" applyFont="1" applyAlignment="1">
      <alignment vertical="center"/>
    </xf>
    <xf numFmtId="0" fontId="12" fillId="0" borderId="0" xfId="0" applyFont="1" applyAlignment="1">
      <alignment horizontal="center" vertical="center"/>
    </xf>
    <xf numFmtId="165" fontId="2" fillId="0" borderId="0" xfId="1" applyNumberFormat="1" applyFont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64" fontId="8" fillId="0" borderId="1" xfId="1" applyNumberFormat="1" applyFont="1" applyBorder="1" applyAlignment="1">
      <alignment horizontal="center" vertical="center"/>
    </xf>
    <xf numFmtId="9" fontId="8" fillId="0" borderId="1" xfId="4" applyFont="1" applyBorder="1" applyAlignment="1">
      <alignment horizontal="center" vertical="center"/>
    </xf>
    <xf numFmtId="165" fontId="8" fillId="0" borderId="1" xfId="1" applyNumberFormat="1" applyFont="1" applyBorder="1" applyAlignment="1">
      <alignment horizontal="center" vertical="center"/>
    </xf>
    <xf numFmtId="0" fontId="8" fillId="0" borderId="1" xfId="1" applyNumberFormat="1" applyFont="1" applyBorder="1" applyAlignment="1">
      <alignment horizontal="center" vertical="center"/>
    </xf>
    <xf numFmtId="165" fontId="8" fillId="0" borderId="1" xfId="1" quotePrefix="1" applyNumberFormat="1" applyFont="1" applyBorder="1" applyAlignment="1">
      <alignment horizontal="center" vertical="center" wrapText="1"/>
    </xf>
    <xf numFmtId="165" fontId="8" fillId="0" borderId="0" xfId="1" quotePrefix="1" applyNumberFormat="1" applyFont="1" applyAlignment="1">
      <alignment horizontal="center" vertical="center" wrapText="1"/>
    </xf>
    <xf numFmtId="43" fontId="15" fillId="0" borderId="0" xfId="0" applyNumberFormat="1" applyFont="1" applyAlignment="1">
      <alignment vertical="center"/>
    </xf>
    <xf numFmtId="165" fontId="15" fillId="0" borderId="0" xfId="0" applyNumberFormat="1" applyFont="1" applyAlignment="1">
      <alignment vertical="center"/>
    </xf>
    <xf numFmtId="0" fontId="2" fillId="0" borderId="1" xfId="0" applyFont="1" applyBorder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right" vertical="center"/>
    </xf>
    <xf numFmtId="14" fontId="2" fillId="0" borderId="0" xfId="0" applyNumberFormat="1" applyFont="1" applyAlignment="1">
      <alignment vertical="center"/>
    </xf>
    <xf numFmtId="3" fontId="8" fillId="0" borderId="0" xfId="0" applyNumberFormat="1" applyFont="1" applyAlignment="1">
      <alignment horizontal="right" vertical="center"/>
    </xf>
    <xf numFmtId="165" fontId="8" fillId="0" borderId="0" xfId="1" applyNumberFormat="1" applyFont="1" applyAlignment="1">
      <alignment vertical="center"/>
    </xf>
    <xf numFmtId="164" fontId="11" fillId="0" borderId="0" xfId="1" applyNumberFormat="1" applyFont="1" applyAlignment="1">
      <alignment horizontal="left" vertical="center"/>
    </xf>
    <xf numFmtId="43" fontId="1" fillId="0" borderId="1" xfId="1" applyBorder="1"/>
    <xf numFmtId="0" fontId="18" fillId="0" borderId="0" xfId="0" applyFont="1"/>
    <xf numFmtId="0" fontId="9" fillId="4" borderId="1" xfId="2" applyFont="1" applyFill="1" applyBorder="1" applyAlignment="1">
      <alignment horizontal="center" vertical="center"/>
    </xf>
    <xf numFmtId="43" fontId="18" fillId="0" borderId="1" xfId="1" applyFont="1" applyBorder="1"/>
    <xf numFmtId="0" fontId="11" fillId="0" borderId="0" xfId="0" applyFont="1" applyAlignment="1">
      <alignment vertical="center" wrapText="1"/>
    </xf>
    <xf numFmtId="43" fontId="11" fillId="0" borderId="0" xfId="0" applyNumberFormat="1" applyFont="1" applyAlignment="1">
      <alignment vertical="center" wrapText="1"/>
    </xf>
    <xf numFmtId="43" fontId="9" fillId="0" borderId="0" xfId="0" applyNumberFormat="1" applyFont="1"/>
    <xf numFmtId="43" fontId="18" fillId="0" borderId="0" xfId="0" applyNumberFormat="1" applyFont="1"/>
    <xf numFmtId="43" fontId="11" fillId="0" borderId="0" xfId="0" applyNumberFormat="1" applyFont="1"/>
    <xf numFmtId="166" fontId="0" fillId="0" borderId="0" xfId="0" applyNumberFormat="1"/>
    <xf numFmtId="0" fontId="12" fillId="0" borderId="1" xfId="0" applyFont="1" applyBorder="1"/>
    <xf numFmtId="0" fontId="8" fillId="0" borderId="0" xfId="0" applyFont="1" applyAlignment="1">
      <alignment vertical="center" wrapText="1"/>
    </xf>
    <xf numFmtId="0" fontId="15" fillId="0" borderId="0" xfId="0" applyFont="1" applyAlignment="1">
      <alignment horizontal="center" vertical="center"/>
    </xf>
    <xf numFmtId="0" fontId="9" fillId="0" borderId="1" xfId="0" applyFont="1" applyBorder="1" applyAlignment="1">
      <alignment horizontal="left" vertical="center" wrapText="1"/>
    </xf>
    <xf numFmtId="164" fontId="2" fillId="0" borderId="1" xfId="1" applyNumberFormat="1" applyFont="1" applyBorder="1" applyAlignment="1">
      <alignment horizontal="center" vertical="center"/>
    </xf>
    <xf numFmtId="9" fontId="2" fillId="0" borderId="1" xfId="4" applyFont="1" applyBorder="1" applyAlignment="1">
      <alignment horizontal="center" vertical="center"/>
    </xf>
    <xf numFmtId="165" fontId="2" fillId="0" borderId="1" xfId="1" applyNumberFormat="1" applyFont="1" applyBorder="1" applyAlignment="1">
      <alignment horizontal="center" vertical="center"/>
    </xf>
    <xf numFmtId="0" fontId="2" fillId="0" borderId="1" xfId="1" applyNumberFormat="1" applyFont="1" applyBorder="1" applyAlignment="1">
      <alignment horizontal="center" vertical="center"/>
    </xf>
    <xf numFmtId="165" fontId="2" fillId="0" borderId="1" xfId="1" quotePrefix="1" applyNumberFormat="1" applyFont="1" applyBorder="1" applyAlignment="1">
      <alignment horizontal="center" vertical="center" wrapText="1"/>
    </xf>
    <xf numFmtId="165" fontId="2" fillId="7" borderId="12" xfId="1" applyNumberFormat="1" applyFont="1" applyFill="1" applyBorder="1" applyAlignment="1">
      <alignment vertical="center"/>
    </xf>
    <xf numFmtId="0" fontId="2" fillId="7" borderId="12" xfId="0" applyFont="1" applyFill="1" applyBorder="1" applyAlignment="1">
      <alignment vertical="center"/>
    </xf>
    <xf numFmtId="165" fontId="2" fillId="7" borderId="12" xfId="1" applyNumberFormat="1" applyFont="1" applyFill="1" applyBorder="1" applyAlignment="1">
      <alignment vertical="center" wrapText="1"/>
    </xf>
    <xf numFmtId="3" fontId="2" fillId="7" borderId="3" xfId="0" applyNumberFormat="1" applyFont="1" applyFill="1" applyBorder="1" applyAlignment="1">
      <alignment horizontal="centerContinuous" vertical="center" wrapText="1"/>
    </xf>
    <xf numFmtId="3" fontId="2" fillId="7" borderId="13" xfId="0" applyNumberFormat="1" applyFont="1" applyFill="1" applyBorder="1" applyAlignment="1">
      <alignment horizontal="centerContinuous" vertical="center" wrapText="1"/>
    </xf>
    <xf numFmtId="3" fontId="2" fillId="7" borderId="14" xfId="0" applyNumberFormat="1" applyFont="1" applyFill="1" applyBorder="1" applyAlignment="1">
      <alignment horizontal="centerContinuous" vertical="center" wrapText="1"/>
    </xf>
    <xf numFmtId="165" fontId="2" fillId="7" borderId="3" xfId="1" applyNumberFormat="1" applyFont="1" applyFill="1" applyBorder="1" applyAlignment="1">
      <alignment horizontal="centerContinuous" vertical="center"/>
    </xf>
    <xf numFmtId="165" fontId="2" fillId="7" borderId="14" xfId="1" applyNumberFormat="1" applyFont="1" applyFill="1" applyBorder="1" applyAlignment="1">
      <alignment horizontal="centerContinuous" vertical="center"/>
    </xf>
    <xf numFmtId="0" fontId="2" fillId="4" borderId="2" xfId="2" applyFont="1" applyFill="1" applyBorder="1" applyAlignment="1">
      <alignment horizontal="center" vertical="center" wrapText="1"/>
    </xf>
    <xf numFmtId="0" fontId="2" fillId="4" borderId="1" xfId="2" applyFont="1" applyFill="1" applyBorder="1" applyAlignment="1">
      <alignment horizontal="left" vertical="center" wrapText="1"/>
    </xf>
    <xf numFmtId="0" fontId="2" fillId="6" borderId="12" xfId="0" applyFont="1" applyFill="1" applyBorder="1" applyAlignment="1">
      <alignment vertical="center"/>
    </xf>
    <xf numFmtId="165" fontId="2" fillId="6" borderId="12" xfId="1" applyNumberFormat="1" applyFont="1" applyFill="1" applyBorder="1" applyAlignment="1">
      <alignment vertical="center"/>
    </xf>
    <xf numFmtId="165" fontId="2" fillId="6" borderId="12" xfId="1" applyNumberFormat="1" applyFont="1" applyFill="1" applyBorder="1" applyAlignment="1">
      <alignment vertical="center" wrapText="1"/>
    </xf>
    <xf numFmtId="3" fontId="2" fillId="6" borderId="1" xfId="0" applyNumberFormat="1" applyFont="1" applyFill="1" applyBorder="1" applyAlignment="1">
      <alignment horizontal="center" vertical="center" wrapText="1"/>
    </xf>
    <xf numFmtId="165" fontId="2" fillId="6" borderId="1" xfId="1" applyNumberFormat="1" applyFont="1" applyFill="1" applyBorder="1" applyAlignment="1">
      <alignment horizontal="center" vertical="center" wrapText="1"/>
    </xf>
    <xf numFmtId="165" fontId="2" fillId="6" borderId="1" xfId="1" applyNumberFormat="1" applyFont="1" applyFill="1" applyBorder="1" applyAlignment="1">
      <alignment horizontal="center" vertical="center"/>
    </xf>
    <xf numFmtId="165" fontId="2" fillId="6" borderId="0" xfId="1" applyNumberFormat="1" applyFont="1" applyFill="1" applyAlignment="1">
      <alignment horizontal="center" vertical="center"/>
    </xf>
    <xf numFmtId="3" fontId="15" fillId="6" borderId="0" xfId="0" applyNumberFormat="1" applyFont="1" applyFill="1" applyAlignment="1">
      <alignment vertical="center"/>
    </xf>
    <xf numFmtId="0" fontId="15" fillId="6" borderId="0" xfId="0" applyFont="1" applyFill="1" applyAlignment="1">
      <alignment vertical="center"/>
    </xf>
    <xf numFmtId="0" fontId="15" fillId="3" borderId="0" xfId="0" applyFont="1" applyFill="1" applyAlignment="1">
      <alignment vertical="center"/>
    </xf>
    <xf numFmtId="165" fontId="8" fillId="3" borderId="1" xfId="1" quotePrefix="1" applyNumberFormat="1" applyFont="1" applyFill="1" applyBorder="1" applyAlignment="1">
      <alignment horizontal="center" vertical="center" wrapText="1"/>
    </xf>
    <xf numFmtId="43" fontId="15" fillId="3" borderId="1" xfId="0" applyNumberFormat="1" applyFont="1" applyFill="1" applyBorder="1" applyAlignment="1">
      <alignment vertical="center"/>
    </xf>
    <xf numFmtId="165" fontId="15" fillId="3" borderId="1" xfId="0" applyNumberFormat="1" applyFont="1" applyFill="1" applyBorder="1" applyAlignment="1">
      <alignment vertical="center" wrapText="1"/>
    </xf>
    <xf numFmtId="165" fontId="15" fillId="3" borderId="1" xfId="0" applyNumberFormat="1" applyFont="1" applyFill="1" applyBorder="1" applyAlignment="1">
      <alignment vertical="center"/>
    </xf>
    <xf numFmtId="0" fontId="15" fillId="3" borderId="1" xfId="0" applyFont="1" applyFill="1" applyBorder="1" applyAlignment="1">
      <alignment vertical="center"/>
    </xf>
    <xf numFmtId="43" fontId="12" fillId="0" borderId="1" xfId="0" applyNumberFormat="1" applyFont="1" applyBorder="1" applyAlignment="1">
      <alignment horizontal="center" vertical="center"/>
    </xf>
    <xf numFmtId="165" fontId="12" fillId="0" borderId="1" xfId="0" applyNumberFormat="1" applyFont="1" applyBorder="1" applyAlignment="1">
      <alignment horizontal="center" vertical="center" wrapText="1"/>
    </xf>
    <xf numFmtId="165" fontId="12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43" fontId="15" fillId="0" borderId="1" xfId="0" applyNumberFormat="1" applyFont="1" applyBorder="1" applyAlignment="1">
      <alignment vertical="center"/>
    </xf>
    <xf numFmtId="165" fontId="15" fillId="0" borderId="1" xfId="0" applyNumberFormat="1" applyFont="1" applyBorder="1" applyAlignment="1">
      <alignment vertical="center" wrapText="1"/>
    </xf>
    <xf numFmtId="165" fontId="15" fillId="0" borderId="1" xfId="0" applyNumberFormat="1" applyFont="1" applyBorder="1" applyAlignment="1">
      <alignment vertical="center"/>
    </xf>
    <xf numFmtId="0" fontId="15" fillId="0" borderId="1" xfId="0" applyFont="1" applyBorder="1" applyAlignment="1">
      <alignment vertical="center"/>
    </xf>
    <xf numFmtId="0" fontId="15" fillId="0" borderId="4" xfId="0" applyFont="1" applyBorder="1" applyAlignment="1">
      <alignment horizontal="left" vertical="center" wrapText="1"/>
    </xf>
    <xf numFmtId="0" fontId="0" fillId="0" borderId="4" xfId="0" applyBorder="1"/>
    <xf numFmtId="0" fontId="8" fillId="0" borderId="11" xfId="0" applyFont="1" applyBorder="1" applyAlignment="1">
      <alignment horizontal="left" vertical="center" wrapText="1"/>
    </xf>
    <xf numFmtId="0" fontId="0" fillId="0" borderId="10" xfId="0" applyBorder="1"/>
    <xf numFmtId="0" fontId="0" fillId="0" borderId="11" xfId="0" applyBorder="1"/>
    <xf numFmtId="0" fontId="8" fillId="0" borderId="10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3" fontId="8" fillId="0" borderId="0" xfId="0" applyNumberFormat="1" applyFont="1" applyAlignment="1">
      <alignment horizontal="right" vertical="center"/>
    </xf>
    <xf numFmtId="165" fontId="8" fillId="0" borderId="0" xfId="1" applyNumberFormat="1" applyFont="1" applyAlignment="1">
      <alignment vertical="center"/>
    </xf>
  </cellXfs>
  <cellStyles count="5">
    <cellStyle name="Comma" xfId="1" builtinId="3"/>
    <cellStyle name="Hyperlink" xfId="3" builtinId="8"/>
    <cellStyle name="Normal" xfId="0" builtinId="0"/>
    <cellStyle name="Normal 3" xfId="2" xr:uid="{00000000-0005-0000-0000-000002000000}"/>
    <cellStyle name="Percent" xfId="4" builtinId="5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6"/>
  <sheetViews>
    <sheetView zoomScale="85" zoomScaleNormal="85" workbookViewId="0">
      <pane xSplit="2" ySplit="7" topLeftCell="C8" activePane="bottomRight" state="frozen"/>
      <selection activeCell="B19" sqref="B19"/>
      <selection pane="topRight" activeCell="B19" sqref="B19"/>
      <selection pane="bottomLeft" activeCell="B19" sqref="B19"/>
      <selection pane="bottomRight" activeCell="I33" sqref="H33:I33"/>
    </sheetView>
  </sheetViews>
  <sheetFormatPr defaultRowHeight="15" x14ac:dyDescent="0.25"/>
  <cols>
    <col min="1" max="1" width="12.7109375" customWidth="1"/>
    <col min="2" max="2" width="16" customWidth="1"/>
    <col min="3" max="3" width="19.28515625" customWidth="1"/>
    <col min="4" max="5" width="16.7109375" customWidth="1"/>
    <col min="6" max="6" width="7" style="1" customWidth="1"/>
    <col min="7" max="8" width="17.85546875" customWidth="1"/>
    <col min="9" max="9" width="17.85546875" style="95" customWidth="1"/>
    <col min="10" max="10" width="17.85546875" customWidth="1"/>
    <col min="11" max="11" width="15" customWidth="1"/>
    <col min="12" max="12" width="27.42578125" customWidth="1"/>
    <col min="13" max="13" width="20.7109375" customWidth="1"/>
    <col min="14" max="14" width="7.42578125" customWidth="1"/>
    <col min="15" max="15" width="16.28515625" customWidth="1"/>
    <col min="16" max="16" width="16.42578125" customWidth="1"/>
    <col min="17" max="17" width="17.85546875" customWidth="1"/>
    <col min="18" max="18" width="11.28515625" customWidth="1"/>
    <col min="19" max="19" width="7.28515625" customWidth="1"/>
    <col min="20" max="20" width="11.28515625" customWidth="1"/>
    <col min="21" max="21" width="17.85546875" customWidth="1"/>
    <col min="22" max="22" width="40.5703125" customWidth="1"/>
    <col min="23" max="23" width="18.28515625" bestFit="1" customWidth="1"/>
  </cols>
  <sheetData>
    <row r="1" spans="1:24" x14ac:dyDescent="0.25">
      <c r="A1" t="s">
        <v>60</v>
      </c>
      <c r="B1" t="s">
        <v>61</v>
      </c>
    </row>
    <row r="2" spans="1:24" x14ac:dyDescent="0.25">
      <c r="A2" t="s">
        <v>62</v>
      </c>
      <c r="B2" t="s">
        <v>63</v>
      </c>
      <c r="V2" s="2" t="s">
        <v>64</v>
      </c>
      <c r="W2" s="3">
        <f>W3</f>
        <v>0</v>
      </c>
    </row>
    <row r="3" spans="1:24" ht="15.6" customHeight="1" x14ac:dyDescent="0.25">
      <c r="A3" t="s">
        <v>65</v>
      </c>
      <c r="B3" s="4" t="s">
        <v>66</v>
      </c>
      <c r="L3" s="5"/>
      <c r="U3" s="6" t="s">
        <v>67</v>
      </c>
      <c r="V3" s="7" t="s">
        <v>68</v>
      </c>
      <c r="W3" s="8">
        <f>D26</f>
        <v>0</v>
      </c>
      <c r="X3" s="6" t="s">
        <v>69</v>
      </c>
    </row>
    <row r="4" spans="1:24" ht="15.6" customHeight="1" x14ac:dyDescent="0.25">
      <c r="U4" s="9"/>
      <c r="V4" s="10" t="s">
        <v>70</v>
      </c>
      <c r="W4" s="11"/>
      <c r="X4" s="9"/>
    </row>
    <row r="5" spans="1:24" s="12" customFormat="1" x14ac:dyDescent="0.25">
      <c r="B5" s="13" t="s">
        <v>71</v>
      </c>
      <c r="C5" s="14"/>
      <c r="D5" s="14"/>
      <c r="E5" s="14"/>
      <c r="F5" s="14"/>
      <c r="G5" s="14"/>
      <c r="H5" s="14"/>
      <c r="I5" s="93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</row>
    <row r="6" spans="1:24" x14ac:dyDescent="0.25">
      <c r="A6">
        <v>0</v>
      </c>
      <c r="B6">
        <v>1</v>
      </c>
      <c r="C6">
        <v>2</v>
      </c>
      <c r="D6">
        <v>3</v>
      </c>
      <c r="E6">
        <v>4</v>
      </c>
      <c r="F6">
        <v>5</v>
      </c>
      <c r="G6">
        <v>6</v>
      </c>
      <c r="H6">
        <v>7</v>
      </c>
      <c r="I6">
        <v>8</v>
      </c>
      <c r="J6">
        <v>9</v>
      </c>
      <c r="K6">
        <v>10</v>
      </c>
      <c r="L6">
        <v>11</v>
      </c>
      <c r="M6">
        <v>12</v>
      </c>
      <c r="N6">
        <v>13</v>
      </c>
      <c r="O6">
        <v>14</v>
      </c>
      <c r="P6">
        <v>15</v>
      </c>
      <c r="Q6">
        <v>16</v>
      </c>
    </row>
    <row r="7" spans="1:24" ht="129.75" customHeight="1" x14ac:dyDescent="0.25">
      <c r="A7" s="15" t="s">
        <v>72</v>
      </c>
      <c r="B7" s="15" t="s">
        <v>73</v>
      </c>
      <c r="C7" s="16" t="s">
        <v>74</v>
      </c>
      <c r="D7" s="15" t="s">
        <v>75</v>
      </c>
      <c r="E7" s="17" t="s">
        <v>76</v>
      </c>
      <c r="G7" s="15" t="s">
        <v>77</v>
      </c>
      <c r="H7" s="122" t="s">
        <v>78</v>
      </c>
      <c r="I7" s="96" t="s">
        <v>79</v>
      </c>
      <c r="J7" s="15" t="s">
        <v>80</v>
      </c>
      <c r="L7" s="121" t="s">
        <v>81</v>
      </c>
      <c r="M7" s="18" t="s">
        <v>82</v>
      </c>
      <c r="O7" s="15" t="s">
        <v>83</v>
      </c>
      <c r="P7" s="19" t="s">
        <v>84</v>
      </c>
      <c r="Q7" s="20" t="s">
        <v>85</v>
      </c>
      <c r="R7" s="21"/>
      <c r="S7" s="21"/>
      <c r="T7" s="21"/>
    </row>
    <row r="8" spans="1:24" x14ac:dyDescent="0.25">
      <c r="A8" s="22">
        <v>9178190629</v>
      </c>
      <c r="B8" s="44" t="s">
        <v>86</v>
      </c>
      <c r="C8" s="25">
        <v>2042457.12</v>
      </c>
      <c r="D8" s="25">
        <v>2042457.12</v>
      </c>
      <c r="E8" s="24"/>
      <c r="G8" s="25">
        <v>1650000</v>
      </c>
      <c r="H8" s="25"/>
      <c r="I8" s="26"/>
      <c r="J8" s="25">
        <v>1650000</v>
      </c>
      <c r="K8" s="103"/>
      <c r="L8" s="27">
        <v>0</v>
      </c>
      <c r="M8" s="27">
        <v>260457.12</v>
      </c>
      <c r="O8" s="28">
        <v>241164</v>
      </c>
      <c r="P8" s="28">
        <v>2042457.12</v>
      </c>
      <c r="Q8" s="28">
        <v>0</v>
      </c>
      <c r="R8" s="27"/>
      <c r="S8" s="27"/>
      <c r="T8" s="27"/>
      <c r="V8" t="s">
        <v>87</v>
      </c>
    </row>
    <row r="9" spans="1:24" x14ac:dyDescent="0.25">
      <c r="A9" s="22">
        <v>9178469179</v>
      </c>
      <c r="B9" s="44" t="s">
        <v>88</v>
      </c>
      <c r="C9" s="25">
        <v>1358100</v>
      </c>
      <c r="D9" s="25">
        <v>1358100</v>
      </c>
      <c r="E9" s="24"/>
      <c r="G9" s="25">
        <v>1100000</v>
      </c>
      <c r="H9" s="25"/>
      <c r="I9" s="23"/>
      <c r="J9" s="25">
        <v>1100000</v>
      </c>
      <c r="K9" s="103"/>
      <c r="L9" s="27">
        <v>0</v>
      </c>
      <c r="M9" s="27">
        <v>170100</v>
      </c>
      <c r="O9" s="28">
        <v>157500</v>
      </c>
      <c r="P9" s="28">
        <v>1358100</v>
      </c>
      <c r="Q9" s="28">
        <v>0</v>
      </c>
      <c r="R9" s="27"/>
      <c r="S9" s="27"/>
      <c r="T9" s="27"/>
      <c r="V9" t="s">
        <v>89</v>
      </c>
    </row>
    <row r="10" spans="1:24" x14ac:dyDescent="0.25">
      <c r="A10" s="22">
        <v>9178469181</v>
      </c>
      <c r="B10" s="44" t="s">
        <v>90</v>
      </c>
      <c r="C10" s="25">
        <v>1358100</v>
      </c>
      <c r="D10" s="25">
        <v>1358100</v>
      </c>
      <c r="E10" s="24"/>
      <c r="G10" s="25">
        <v>1100000</v>
      </c>
      <c r="H10" s="25"/>
      <c r="I10" s="94"/>
      <c r="J10" s="25">
        <v>1100000</v>
      </c>
      <c r="K10" s="103"/>
      <c r="L10" s="27">
        <v>0</v>
      </c>
      <c r="M10" s="27">
        <v>170100</v>
      </c>
      <c r="O10" s="28">
        <v>157500</v>
      </c>
      <c r="P10" s="28">
        <v>1358100</v>
      </c>
      <c r="Q10" s="28">
        <v>0</v>
      </c>
      <c r="R10" s="27" t="s">
        <v>91</v>
      </c>
      <c r="S10" s="27" t="s">
        <v>92</v>
      </c>
      <c r="T10" s="27"/>
      <c r="V10" t="s">
        <v>93</v>
      </c>
    </row>
    <row r="11" spans="1:24" x14ac:dyDescent="0.25">
      <c r="A11" s="22">
        <v>9178469183</v>
      </c>
      <c r="B11" s="44" t="s">
        <v>94</v>
      </c>
      <c r="C11" s="25">
        <v>3377376</v>
      </c>
      <c r="D11" s="25">
        <v>3377376</v>
      </c>
      <c r="E11" s="24"/>
      <c r="G11" s="25">
        <v>1650000</v>
      </c>
      <c r="H11" s="25"/>
      <c r="I11" s="26">
        <v>1200000</v>
      </c>
      <c r="J11" s="25">
        <v>2850000</v>
      </c>
      <c r="K11" s="103"/>
      <c r="L11" s="27">
        <v>1296000</v>
      </c>
      <c r="M11" s="27">
        <v>299376</v>
      </c>
      <c r="O11" s="28">
        <v>277200</v>
      </c>
      <c r="P11" s="28">
        <v>3377376</v>
      </c>
      <c r="Q11" s="28">
        <v>0</v>
      </c>
      <c r="R11" s="27" t="s">
        <v>95</v>
      </c>
      <c r="S11" s="27" t="s">
        <v>96</v>
      </c>
      <c r="T11" s="27" t="s">
        <v>97</v>
      </c>
      <c r="V11" t="s">
        <v>98</v>
      </c>
    </row>
    <row r="12" spans="1:24" x14ac:dyDescent="0.25">
      <c r="A12" s="22">
        <v>9178469185</v>
      </c>
      <c r="B12" s="44" t="s">
        <v>99</v>
      </c>
      <c r="C12" s="25">
        <v>1573560</v>
      </c>
      <c r="D12" s="25">
        <v>1573560</v>
      </c>
      <c r="E12" s="24"/>
      <c r="G12" s="25">
        <v>1100000</v>
      </c>
      <c r="H12" s="25"/>
      <c r="I12" s="26"/>
      <c r="J12" s="25">
        <v>1100000</v>
      </c>
      <c r="K12" s="103"/>
      <c r="L12" s="27">
        <v>0</v>
      </c>
      <c r="M12" s="27">
        <v>385560</v>
      </c>
      <c r="O12" s="28">
        <v>357000</v>
      </c>
      <c r="P12" s="28">
        <v>1573560</v>
      </c>
      <c r="Q12" s="28">
        <v>0</v>
      </c>
      <c r="R12" s="27"/>
      <c r="S12" s="27"/>
      <c r="T12" s="27"/>
      <c r="V12" t="s">
        <v>100</v>
      </c>
    </row>
    <row r="13" spans="1:24" x14ac:dyDescent="0.25">
      <c r="A13" s="22">
        <v>9178190633</v>
      </c>
      <c r="B13" s="44" t="s">
        <v>101</v>
      </c>
      <c r="C13" s="25">
        <v>1358100</v>
      </c>
      <c r="D13" s="25">
        <v>1358100</v>
      </c>
      <c r="E13" s="24"/>
      <c r="G13" s="25">
        <v>1100000</v>
      </c>
      <c r="H13" s="25"/>
      <c r="I13" s="94"/>
      <c r="J13" s="25">
        <v>1100000</v>
      </c>
      <c r="K13" s="103"/>
      <c r="L13" s="27">
        <v>0</v>
      </c>
      <c r="M13" s="27">
        <v>170100</v>
      </c>
      <c r="O13" s="28">
        <v>157500</v>
      </c>
      <c r="P13" s="28">
        <v>1358100</v>
      </c>
      <c r="Q13" s="28">
        <v>0</v>
      </c>
      <c r="R13" s="27" t="s">
        <v>102</v>
      </c>
      <c r="S13" s="27" t="s">
        <v>92</v>
      </c>
      <c r="T13" s="27"/>
      <c r="V13" t="s">
        <v>103</v>
      </c>
    </row>
    <row r="14" spans="1:24" x14ac:dyDescent="0.25">
      <c r="A14" s="22">
        <v>9178190635</v>
      </c>
      <c r="B14" s="44" t="s">
        <v>104</v>
      </c>
      <c r="C14" s="25">
        <v>3466147.68</v>
      </c>
      <c r="D14" s="25">
        <v>3466147.68</v>
      </c>
      <c r="E14" s="24"/>
      <c r="G14" s="25">
        <v>1650000</v>
      </c>
      <c r="H14" s="25"/>
      <c r="I14" s="94">
        <v>1163000</v>
      </c>
      <c r="J14" s="25">
        <v>2813000</v>
      </c>
      <c r="K14" s="103"/>
      <c r="L14" s="27">
        <v>1256040</v>
      </c>
      <c r="M14" s="27">
        <v>428107.68000000011</v>
      </c>
      <c r="O14" s="28">
        <v>396396</v>
      </c>
      <c r="P14" s="28">
        <v>3466147.68</v>
      </c>
      <c r="Q14" s="28">
        <v>0</v>
      </c>
      <c r="R14" s="27"/>
      <c r="S14" s="27"/>
      <c r="T14" s="27"/>
      <c r="V14" t="s">
        <v>105</v>
      </c>
    </row>
    <row r="15" spans="1:24" x14ac:dyDescent="0.25">
      <c r="A15" s="22">
        <v>9178190637</v>
      </c>
      <c r="B15" s="44" t="s">
        <v>106</v>
      </c>
      <c r="C15" s="25">
        <v>1789020</v>
      </c>
      <c r="D15" s="25">
        <v>1789020</v>
      </c>
      <c r="E15" s="24"/>
      <c r="G15" s="25">
        <v>1100000</v>
      </c>
      <c r="H15" s="25"/>
      <c r="I15" s="94"/>
      <c r="J15" s="25">
        <v>1100000</v>
      </c>
      <c r="K15" s="103"/>
      <c r="L15" s="27">
        <v>0</v>
      </c>
      <c r="M15" s="27">
        <v>601020</v>
      </c>
      <c r="O15" s="28">
        <v>556500</v>
      </c>
      <c r="P15" s="28">
        <v>1789020</v>
      </c>
      <c r="Q15" s="28">
        <v>0</v>
      </c>
      <c r="R15" s="27"/>
      <c r="S15" s="27"/>
      <c r="T15" s="27"/>
      <c r="V15" t="s">
        <v>107</v>
      </c>
    </row>
    <row r="16" spans="1:24" x14ac:dyDescent="0.25">
      <c r="A16" s="22">
        <v>9178523110</v>
      </c>
      <c r="B16" s="44" t="s">
        <v>108</v>
      </c>
      <c r="C16" s="25">
        <v>1952100</v>
      </c>
      <c r="D16" s="25">
        <v>1952100</v>
      </c>
      <c r="E16" s="24"/>
      <c r="G16" s="25">
        <v>1650000</v>
      </c>
      <c r="H16" s="25"/>
      <c r="I16" s="23"/>
      <c r="J16" s="25">
        <v>1650000</v>
      </c>
      <c r="K16" s="103"/>
      <c r="L16" s="27">
        <v>0</v>
      </c>
      <c r="M16" s="27">
        <v>170100</v>
      </c>
      <c r="O16" s="28">
        <v>157500</v>
      </c>
      <c r="P16" s="28">
        <v>1952100</v>
      </c>
      <c r="Q16" s="28">
        <v>0</v>
      </c>
      <c r="R16" s="27"/>
      <c r="S16" s="27"/>
      <c r="T16" s="27"/>
      <c r="V16" t="s">
        <v>109</v>
      </c>
    </row>
    <row r="17" spans="1:22" x14ac:dyDescent="0.25">
      <c r="A17" s="22">
        <v>9178190650</v>
      </c>
      <c r="B17" s="44" t="s">
        <v>110</v>
      </c>
      <c r="C17" s="25">
        <v>1358100</v>
      </c>
      <c r="D17" s="25">
        <v>1358100</v>
      </c>
      <c r="E17" s="24"/>
      <c r="G17" s="25">
        <v>1100000</v>
      </c>
      <c r="H17" s="25"/>
      <c r="I17" s="94"/>
      <c r="J17" s="25">
        <v>1100000</v>
      </c>
      <c r="K17" s="103"/>
      <c r="L17" s="27">
        <v>0</v>
      </c>
      <c r="M17" s="27">
        <v>170100</v>
      </c>
      <c r="O17" s="28">
        <v>157500</v>
      </c>
      <c r="P17" s="28">
        <v>1358100</v>
      </c>
      <c r="Q17" s="28">
        <v>0</v>
      </c>
      <c r="R17" s="27" t="s">
        <v>111</v>
      </c>
      <c r="S17" s="27" t="s">
        <v>96</v>
      </c>
      <c r="T17" s="27" t="s">
        <v>112</v>
      </c>
      <c r="V17" t="s">
        <v>113</v>
      </c>
    </row>
    <row r="18" spans="1:22" x14ac:dyDescent="0.25">
      <c r="A18" s="22">
        <v>9178190652</v>
      </c>
      <c r="B18" s="44" t="s">
        <v>114</v>
      </c>
      <c r="C18" s="25">
        <v>2462257.44</v>
      </c>
      <c r="D18" s="25">
        <v>2462257.44</v>
      </c>
      <c r="E18" s="24"/>
      <c r="G18" s="25">
        <v>1650000</v>
      </c>
      <c r="H18" s="25"/>
      <c r="I18" s="26">
        <v>300000</v>
      </c>
      <c r="J18" s="25">
        <v>1950000</v>
      </c>
      <c r="K18" s="103"/>
      <c r="L18" s="27">
        <v>324000</v>
      </c>
      <c r="M18" s="27">
        <v>356257.44</v>
      </c>
      <c r="O18" s="28">
        <v>329868</v>
      </c>
      <c r="P18" s="28">
        <v>2462257.44</v>
      </c>
      <c r="Q18" s="28">
        <v>0</v>
      </c>
      <c r="R18" s="27"/>
      <c r="S18" s="27"/>
      <c r="T18" s="27"/>
      <c r="V18" t="s">
        <v>115</v>
      </c>
    </row>
    <row r="19" spans="1:22" x14ac:dyDescent="0.25">
      <c r="A19" s="22">
        <v>9178190653</v>
      </c>
      <c r="B19" s="44" t="s">
        <v>116</v>
      </c>
      <c r="C19" s="25">
        <v>1188000</v>
      </c>
      <c r="D19" s="25">
        <v>1188000</v>
      </c>
      <c r="E19" s="24"/>
      <c r="G19" s="25">
        <v>1100000</v>
      </c>
      <c r="H19" s="25"/>
      <c r="I19" s="26"/>
      <c r="J19" s="25">
        <v>1100000</v>
      </c>
      <c r="K19" s="103"/>
      <c r="L19" s="27">
        <v>0</v>
      </c>
      <c r="M19" s="27">
        <v>0</v>
      </c>
      <c r="O19" s="28"/>
      <c r="P19" s="28">
        <v>1188000</v>
      </c>
      <c r="Q19" s="28">
        <v>0</v>
      </c>
      <c r="R19" s="27"/>
      <c r="S19" s="27"/>
      <c r="T19" s="27"/>
      <c r="V19" t="s">
        <v>117</v>
      </c>
    </row>
    <row r="20" spans="1:22" x14ac:dyDescent="0.25">
      <c r="A20" s="22">
        <v>9178469195</v>
      </c>
      <c r="B20" s="44" t="s">
        <v>118</v>
      </c>
      <c r="C20" s="25">
        <v>2565270</v>
      </c>
      <c r="D20" s="25">
        <v>2565270</v>
      </c>
      <c r="E20" s="24"/>
      <c r="G20" s="25">
        <v>1650000</v>
      </c>
      <c r="H20" s="25"/>
      <c r="I20" s="94">
        <v>300000</v>
      </c>
      <c r="J20" s="25">
        <v>1950000</v>
      </c>
      <c r="K20" s="103"/>
      <c r="L20" s="27">
        <v>324000</v>
      </c>
      <c r="M20" s="27">
        <v>459270.00000000012</v>
      </c>
      <c r="O20" s="28">
        <v>425250</v>
      </c>
      <c r="P20" s="28">
        <v>2565270</v>
      </c>
      <c r="Q20" s="28">
        <v>0</v>
      </c>
      <c r="R20" s="27" t="s">
        <v>111</v>
      </c>
      <c r="S20" s="27" t="s">
        <v>96</v>
      </c>
      <c r="T20" s="27" t="s">
        <v>112</v>
      </c>
      <c r="V20" t="s">
        <v>119</v>
      </c>
    </row>
    <row r="21" spans="1:22" x14ac:dyDescent="0.25">
      <c r="A21" s="22">
        <v>9178489004</v>
      </c>
      <c r="B21" s="44" t="s">
        <v>120</v>
      </c>
      <c r="C21" s="25">
        <v>2415180.2400000002</v>
      </c>
      <c r="D21" s="25">
        <v>2415180.2400000002</v>
      </c>
      <c r="E21" s="24"/>
      <c r="G21" s="25">
        <v>1650000</v>
      </c>
      <c r="H21" s="25"/>
      <c r="I21" s="23"/>
      <c r="J21" s="25">
        <v>1650000</v>
      </c>
      <c r="K21" s="103"/>
      <c r="L21" s="27">
        <v>0</v>
      </c>
      <c r="M21" s="27">
        <v>633180.24</v>
      </c>
      <c r="O21" s="28">
        <v>586278</v>
      </c>
      <c r="P21" s="28">
        <v>2415180.2400000002</v>
      </c>
      <c r="Q21" s="28">
        <v>0</v>
      </c>
      <c r="R21" s="27" t="s">
        <v>111</v>
      </c>
      <c r="S21" s="27" t="s">
        <v>96</v>
      </c>
      <c r="T21" s="27" t="s">
        <v>121</v>
      </c>
      <c r="V21" t="s">
        <v>122</v>
      </c>
    </row>
    <row r="22" spans="1:22" x14ac:dyDescent="0.25">
      <c r="A22" s="22">
        <v>9178489005</v>
      </c>
      <c r="B22" s="44" t="s">
        <v>123</v>
      </c>
      <c r="C22" s="25">
        <v>6309128.8799999999</v>
      </c>
      <c r="D22" s="25">
        <v>6309128.8799999999</v>
      </c>
      <c r="E22" s="24"/>
      <c r="G22" s="25">
        <v>1250000</v>
      </c>
      <c r="H22" s="25"/>
      <c r="I22" s="94"/>
      <c r="J22" s="25">
        <v>1250000</v>
      </c>
      <c r="K22" s="103"/>
      <c r="L22" s="27">
        <v>0</v>
      </c>
      <c r="M22" s="27">
        <v>4959128.88</v>
      </c>
      <c r="O22" s="28">
        <v>4591786</v>
      </c>
      <c r="P22" s="28">
        <v>6309128.8799999999</v>
      </c>
      <c r="Q22" s="28">
        <v>0</v>
      </c>
      <c r="R22" s="27"/>
      <c r="S22" s="27"/>
      <c r="T22" s="27"/>
      <c r="V22" t="s">
        <v>124</v>
      </c>
    </row>
    <row r="23" spans="1:22" x14ac:dyDescent="0.25">
      <c r="A23" s="22">
        <v>9178489006</v>
      </c>
      <c r="B23" s="44" t="s">
        <v>125</v>
      </c>
      <c r="C23" s="25">
        <v>4873846.68</v>
      </c>
      <c r="D23" s="25">
        <v>4873846.68</v>
      </c>
      <c r="E23" s="24"/>
      <c r="G23" s="25">
        <v>2050000</v>
      </c>
      <c r="H23" s="25"/>
      <c r="I23" s="97">
        <v>1564000</v>
      </c>
      <c r="J23" s="25">
        <v>3614000</v>
      </c>
      <c r="K23" s="103"/>
      <c r="L23" s="27">
        <v>1689120</v>
      </c>
      <c r="M23" s="27">
        <v>970726.68</v>
      </c>
      <c r="O23" s="28">
        <v>898821</v>
      </c>
      <c r="P23" s="28">
        <v>4873846.6800000006</v>
      </c>
      <c r="Q23" s="28">
        <v>0</v>
      </c>
      <c r="R23" s="27"/>
      <c r="S23" s="27"/>
      <c r="T23" s="27"/>
      <c r="V23" t="s">
        <v>126</v>
      </c>
    </row>
    <row r="24" spans="1:22" x14ac:dyDescent="0.25">
      <c r="A24" s="22"/>
      <c r="B24" s="44"/>
      <c r="C24" s="25"/>
      <c r="D24" s="25">
        <v>0</v>
      </c>
      <c r="E24" s="23"/>
      <c r="G24" s="25"/>
      <c r="H24" s="25"/>
      <c r="I24" s="26"/>
      <c r="J24" s="25">
        <v>0</v>
      </c>
      <c r="K24" s="103"/>
      <c r="L24" s="27">
        <v>0</v>
      </c>
      <c r="M24" s="27">
        <v>0</v>
      </c>
      <c r="O24" s="28"/>
      <c r="P24" s="28">
        <v>0</v>
      </c>
      <c r="Q24" s="28">
        <v>0</v>
      </c>
      <c r="R24" s="27"/>
      <c r="S24" s="27"/>
      <c r="T24" s="27"/>
      <c r="V24" t="s">
        <v>127</v>
      </c>
    </row>
    <row r="25" spans="1:22" x14ac:dyDescent="0.25">
      <c r="A25" s="22" t="s">
        <v>75</v>
      </c>
      <c r="B25" s="44"/>
      <c r="C25" s="25"/>
      <c r="D25" s="25">
        <v>39446744.040000007</v>
      </c>
      <c r="E25" s="24">
        <v>0</v>
      </c>
      <c r="G25" s="25">
        <v>22550000</v>
      </c>
      <c r="H25" s="25">
        <v>0</v>
      </c>
      <c r="I25" s="94">
        <v>4527000</v>
      </c>
      <c r="J25" s="25">
        <v>27077000</v>
      </c>
      <c r="K25" s="103"/>
      <c r="L25" s="27">
        <v>4889160</v>
      </c>
      <c r="M25" s="27">
        <v>10203584.039999999</v>
      </c>
      <c r="O25" s="28">
        <v>9447763</v>
      </c>
      <c r="P25" s="28">
        <v>39446744.040000007</v>
      </c>
      <c r="Q25" s="28">
        <v>0</v>
      </c>
      <c r="R25" s="27" t="s">
        <v>128</v>
      </c>
      <c r="S25" s="27" t="s">
        <v>129</v>
      </c>
      <c r="T25" s="27" t="s">
        <v>130</v>
      </c>
      <c r="V25" t="s">
        <v>131</v>
      </c>
    </row>
    <row r="26" spans="1:22" x14ac:dyDescent="0.25">
      <c r="A26" s="104"/>
      <c r="B26" s="104"/>
      <c r="C26" s="104"/>
      <c r="D26" s="29"/>
      <c r="E26" s="30"/>
      <c r="G26" s="29"/>
      <c r="H26" s="29"/>
      <c r="I26" s="29"/>
      <c r="J26" s="29">
        <v>2166160</v>
      </c>
      <c r="K26" s="29"/>
      <c r="L26" s="29"/>
      <c r="M26" s="43"/>
      <c r="N26" s="29"/>
      <c r="O26" s="29"/>
      <c r="P26" s="29"/>
      <c r="Q26" s="30"/>
      <c r="R26" s="27"/>
      <c r="S26" s="27"/>
      <c r="T26" s="27"/>
    </row>
    <row r="27" spans="1:22" x14ac:dyDescent="0.25">
      <c r="D27" s="31"/>
      <c r="E27" s="31"/>
      <c r="G27" s="27"/>
      <c r="J27" s="37">
        <v>29243160</v>
      </c>
      <c r="M27" s="27"/>
    </row>
    <row r="28" spans="1:22" ht="15" customHeight="1" x14ac:dyDescent="0.25">
      <c r="D28" s="5"/>
      <c r="E28" s="5"/>
      <c r="F28" s="32"/>
      <c r="G28" s="33">
        <v>27077000</v>
      </c>
      <c r="H28" s="34"/>
      <c r="I28" s="98"/>
      <c r="J28" s="42"/>
      <c r="K28" s="34"/>
      <c r="L28" s="34"/>
      <c r="M28" s="34"/>
      <c r="N28" s="34"/>
      <c r="O28" s="35"/>
      <c r="P28" s="36"/>
      <c r="Q28" s="36"/>
      <c r="R28" s="36"/>
      <c r="S28" s="36"/>
      <c r="T28" s="36"/>
    </row>
    <row r="29" spans="1:22" ht="15" customHeight="1" x14ac:dyDescent="0.25">
      <c r="D29" s="27"/>
      <c r="E29" s="27"/>
      <c r="F29" s="32"/>
      <c r="G29" s="33">
        <v>2166160</v>
      </c>
      <c r="H29" s="33"/>
      <c r="I29" s="98"/>
      <c r="J29" s="33"/>
      <c r="K29" s="34"/>
      <c r="L29" s="33"/>
      <c r="M29" s="37"/>
      <c r="N29" s="34"/>
      <c r="O29" s="35"/>
      <c r="P29" s="36"/>
      <c r="Q29" s="36"/>
      <c r="R29" s="36"/>
      <c r="S29" s="36"/>
      <c r="T29" s="36"/>
    </row>
    <row r="30" spans="1:22" x14ac:dyDescent="0.25">
      <c r="B30" s="27"/>
      <c r="C30" s="27"/>
      <c r="F30" s="32"/>
      <c r="G30" s="37">
        <v>29243160</v>
      </c>
      <c r="H30" s="33">
        <v>10203584.039999999</v>
      </c>
      <c r="I30" s="99">
        <v>39446744.039999999</v>
      </c>
      <c r="J30" s="37"/>
      <c r="K30" s="33"/>
      <c r="L30" s="33"/>
      <c r="M30" s="33"/>
      <c r="N30" s="34"/>
      <c r="O30" s="36"/>
      <c r="P30" s="36"/>
      <c r="Q30" s="36"/>
      <c r="R30" s="36"/>
      <c r="S30" s="36"/>
      <c r="T30" s="36"/>
    </row>
    <row r="31" spans="1:22" x14ac:dyDescent="0.25">
      <c r="C31" s="2"/>
      <c r="D31" s="27"/>
      <c r="E31" s="27"/>
      <c r="G31" s="38"/>
      <c r="H31" s="31">
        <v>0</v>
      </c>
      <c r="I31" s="100">
        <v>0</v>
      </c>
      <c r="J31" s="27"/>
      <c r="L31" s="27"/>
      <c r="M31" s="27"/>
    </row>
    <row r="32" spans="1:22" x14ac:dyDescent="0.25">
      <c r="D32" s="27"/>
      <c r="E32" s="27"/>
      <c r="G32" s="27"/>
      <c r="H32" s="38">
        <v>10203584.039999999</v>
      </c>
      <c r="I32" s="101">
        <v>39446744.039999999</v>
      </c>
      <c r="K32" s="27"/>
      <c r="L32" s="27"/>
      <c r="M32" s="27"/>
    </row>
    <row r="33" spans="4:16" x14ac:dyDescent="0.25">
      <c r="D33" s="27"/>
      <c r="E33" s="27"/>
      <c r="G33" s="27"/>
      <c r="H33" s="27"/>
      <c r="I33" s="102"/>
      <c r="L33" s="38"/>
      <c r="M33" s="38"/>
    </row>
    <row r="34" spans="4:16" x14ac:dyDescent="0.25">
      <c r="G34" s="5"/>
      <c r="I34" s="101"/>
      <c r="L34" s="38"/>
      <c r="M34" s="5"/>
      <c r="P34" s="39"/>
    </row>
    <row r="35" spans="4:16" x14ac:dyDescent="0.25">
      <c r="G35" s="27"/>
      <c r="M35" s="27"/>
    </row>
    <row r="36" spans="4:16" x14ac:dyDescent="0.25">
      <c r="L36" s="27"/>
      <c r="M36" s="27"/>
    </row>
  </sheetData>
  <autoFilter ref="A7:V26" xr:uid="{00000000-0009-0000-0000-000000000000}">
    <sortState xmlns:xlrd2="http://schemas.microsoft.com/office/spreadsheetml/2017/richdata2" ref="A8:V33">
      <sortCondition ref="F7:F26"/>
    </sortState>
  </autoFilter>
  <conditionalFormatting sqref="B7">
    <cfRule type="duplicateValues" dxfId="4" priority="8"/>
  </conditionalFormatting>
  <conditionalFormatting sqref="B8:B18">
    <cfRule type="duplicateValues" dxfId="3" priority="59"/>
  </conditionalFormatting>
  <conditionalFormatting sqref="B19:B24">
    <cfRule type="duplicateValues" dxfId="2" priority="60"/>
  </conditionalFormatting>
  <conditionalFormatting sqref="B25">
    <cfRule type="duplicateValues" dxfId="1" priority="1"/>
  </conditionalFormatting>
  <conditionalFormatting sqref="D5:E5">
    <cfRule type="duplicateValues" dxfId="0" priority="7"/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50"/>
  <sheetViews>
    <sheetView topLeftCell="A20" zoomScaleNormal="100" workbookViewId="0">
      <selection activeCell="B30" sqref="B30"/>
    </sheetView>
  </sheetViews>
  <sheetFormatPr defaultColWidth="8.85546875" defaultRowHeight="15" x14ac:dyDescent="0.25"/>
  <cols>
    <col min="1" max="1" width="10.28515625" style="45" customWidth="1"/>
    <col min="2" max="2" width="35.5703125" style="48" customWidth="1"/>
    <col min="3" max="3" width="10.140625" style="48" customWidth="1"/>
    <col min="4" max="4" width="9.5703125" style="45" bestFit="1" customWidth="1"/>
    <col min="5" max="5" width="5" style="45" customWidth="1"/>
    <col min="6" max="6" width="12" style="91" customWidth="1"/>
    <col min="7" max="7" width="8.28515625" style="91" customWidth="1"/>
    <col min="8" max="8" width="14.140625" style="48" customWidth="1"/>
    <col min="9" max="9" width="12.28515625" style="48" customWidth="1"/>
    <col min="10" max="10" width="11.7109375" style="48" customWidth="1"/>
    <col min="11" max="11" width="20.5703125" style="92" customWidth="1"/>
    <col min="12" max="13" width="14.28515625" style="92" customWidth="1"/>
    <col min="14" max="14" width="14.7109375" style="47" customWidth="1"/>
    <col min="15" max="15" width="16.7109375" style="48" customWidth="1"/>
    <col min="16" max="18" width="8.85546875" style="48" customWidth="1"/>
    <col min="19" max="20" width="17.85546875" style="48" customWidth="1"/>
    <col min="21" max="35" width="8.85546875" style="48" customWidth="1"/>
    <col min="36" max="16384" width="8.85546875" style="48"/>
  </cols>
  <sheetData>
    <row r="1" spans="1:14" ht="15.6" customHeight="1" x14ac:dyDescent="0.25">
      <c r="B1" s="46" t="s">
        <v>132</v>
      </c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</row>
    <row r="2" spans="1:14" x14ac:dyDescent="0.25">
      <c r="B2" s="48" t="s">
        <v>133</v>
      </c>
      <c r="D2" s="49"/>
      <c r="E2" s="49"/>
      <c r="F2" s="49"/>
      <c r="G2" s="49"/>
      <c r="H2" s="49"/>
      <c r="I2" s="49"/>
      <c r="J2" s="49"/>
      <c r="K2" s="49"/>
      <c r="L2" s="49"/>
      <c r="M2" s="49"/>
    </row>
    <row r="3" spans="1:14" x14ac:dyDescent="0.25">
      <c r="B3" s="48" t="s">
        <v>134</v>
      </c>
      <c r="D3" s="49"/>
      <c r="E3" s="49"/>
      <c r="F3" s="49"/>
      <c r="G3" s="49"/>
      <c r="H3" s="49"/>
      <c r="I3" s="49"/>
      <c r="J3" s="49"/>
      <c r="K3" s="49"/>
      <c r="L3" s="49"/>
      <c r="M3" s="49"/>
    </row>
    <row r="4" spans="1:14" x14ac:dyDescent="0.25">
      <c r="B4" s="50" t="s">
        <v>135</v>
      </c>
      <c r="C4" s="50"/>
      <c r="D4" s="51"/>
      <c r="E4" s="51"/>
      <c r="F4" s="51"/>
      <c r="G4" s="51"/>
      <c r="H4" s="51"/>
      <c r="I4" s="51"/>
      <c r="J4" s="51"/>
      <c r="K4" s="51"/>
      <c r="L4" s="51"/>
      <c r="M4" s="51"/>
    </row>
    <row r="5" spans="1:14" ht="53.45" customHeight="1" thickBot="1" x14ac:dyDescent="0.3">
      <c r="A5" s="52"/>
      <c r="B5" s="53" t="s">
        <v>136</v>
      </c>
      <c r="C5" s="53"/>
      <c r="D5" s="146" t="s">
        <v>137</v>
      </c>
      <c r="E5" s="147"/>
      <c r="F5" s="147"/>
      <c r="G5" s="146" t="s">
        <v>138</v>
      </c>
      <c r="H5" s="147"/>
      <c r="I5" s="146" t="s">
        <v>139</v>
      </c>
      <c r="J5" s="147"/>
      <c r="K5" s="54"/>
      <c r="L5" s="55"/>
      <c r="M5" s="55"/>
    </row>
    <row r="6" spans="1:14" ht="14.45" customHeight="1" thickTop="1" x14ac:dyDescent="0.25">
      <c r="B6" s="56"/>
      <c r="C6" s="56"/>
      <c r="D6" s="56"/>
      <c r="E6" s="56"/>
      <c r="F6" s="56"/>
      <c r="G6" s="56"/>
      <c r="H6" s="56"/>
      <c r="I6" s="56"/>
      <c r="J6" s="56"/>
      <c r="K6" s="56"/>
      <c r="L6" s="56"/>
      <c r="M6" s="56"/>
    </row>
    <row r="7" spans="1:14" x14ac:dyDescent="0.25">
      <c r="B7" s="50"/>
      <c r="C7" s="50"/>
      <c r="D7" s="57"/>
      <c r="E7" s="57"/>
      <c r="F7" s="58"/>
      <c r="G7" s="58"/>
      <c r="H7" s="50"/>
      <c r="I7" s="50"/>
      <c r="J7" s="50"/>
      <c r="K7" s="59"/>
      <c r="L7" s="59"/>
      <c r="M7" s="59"/>
    </row>
    <row r="8" spans="1:14" ht="17.45" customHeight="1" x14ac:dyDescent="0.25">
      <c r="A8" s="152" t="s">
        <v>140</v>
      </c>
      <c r="B8" s="153"/>
      <c r="C8" s="153"/>
      <c r="D8" s="154"/>
      <c r="E8" s="154"/>
      <c r="F8" s="155"/>
      <c r="G8" s="155"/>
      <c r="H8" s="153"/>
      <c r="I8" s="153"/>
      <c r="J8" s="153"/>
      <c r="K8" s="156"/>
      <c r="L8" s="60"/>
      <c r="M8" s="60"/>
    </row>
    <row r="9" spans="1:14" ht="17.45" customHeight="1" x14ac:dyDescent="0.25">
      <c r="A9" s="60"/>
      <c r="B9" s="60"/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</row>
    <row r="10" spans="1:14" ht="17.45" customHeight="1" x14ac:dyDescent="0.25">
      <c r="A10" s="61"/>
      <c r="B10" s="60"/>
      <c r="C10" s="60"/>
      <c r="D10" s="60"/>
      <c r="E10" s="60"/>
      <c r="F10" s="60"/>
      <c r="G10" s="60"/>
      <c r="H10" s="60"/>
      <c r="I10" s="60"/>
      <c r="J10" s="60"/>
      <c r="K10" s="60"/>
      <c r="L10" s="60"/>
      <c r="M10" s="60"/>
    </row>
    <row r="11" spans="1:14" s="67" customFormat="1" ht="14.25" customHeight="1" x14ac:dyDescent="0.25">
      <c r="A11" s="62" t="s">
        <v>141</v>
      </c>
      <c r="B11" s="63"/>
      <c r="C11" s="63"/>
      <c r="D11" s="63"/>
      <c r="E11" s="63"/>
      <c r="F11" s="63"/>
      <c r="G11" s="63"/>
      <c r="H11" s="63"/>
      <c r="I11" s="63"/>
      <c r="J11" s="63"/>
      <c r="K11" s="64"/>
      <c r="L11" s="65"/>
      <c r="M11" s="65"/>
      <c r="N11" s="66"/>
    </row>
    <row r="12" spans="1:14" s="49" customFormat="1" x14ac:dyDescent="0.25">
      <c r="A12" s="68" t="s">
        <v>142</v>
      </c>
      <c r="B12" s="69">
        <v>313935315</v>
      </c>
      <c r="C12" s="69"/>
      <c r="D12" s="70"/>
      <c r="E12" s="70"/>
      <c r="F12" s="70"/>
      <c r="G12" s="70"/>
      <c r="H12" s="70"/>
      <c r="I12" s="70"/>
      <c r="J12" s="70"/>
      <c r="K12" s="71"/>
      <c r="L12" s="70"/>
      <c r="M12" s="70"/>
      <c r="N12" s="72"/>
    </row>
    <row r="13" spans="1:14" s="67" customFormat="1" ht="28.15" customHeight="1" x14ac:dyDescent="0.25">
      <c r="A13" s="73" t="s">
        <v>62</v>
      </c>
      <c r="B13" s="148" t="s">
        <v>143</v>
      </c>
      <c r="C13" s="149"/>
      <c r="D13" s="149"/>
      <c r="E13" s="149"/>
      <c r="F13" s="149"/>
      <c r="G13" s="149"/>
      <c r="H13" s="149"/>
      <c r="I13" s="149"/>
      <c r="J13" s="149"/>
      <c r="K13" s="150"/>
      <c r="L13" s="74"/>
      <c r="M13" s="74"/>
      <c r="N13" s="66"/>
    </row>
    <row r="14" spans="1:14" s="49" customFormat="1" ht="13.15" customHeight="1" x14ac:dyDescent="0.25">
      <c r="A14" s="75"/>
      <c r="B14" s="76"/>
      <c r="C14" s="76"/>
      <c r="D14" s="76"/>
      <c r="E14" s="76"/>
      <c r="F14" s="76"/>
      <c r="G14" s="76"/>
      <c r="H14" s="76"/>
      <c r="I14" s="76"/>
      <c r="J14" s="76"/>
      <c r="K14" s="76"/>
      <c r="L14" s="76"/>
      <c r="M14" s="76"/>
      <c r="N14" s="72"/>
    </row>
    <row r="15" spans="1:14" s="49" customFormat="1" ht="14.25" customHeight="1" x14ac:dyDescent="0.25">
      <c r="A15" s="61" t="s">
        <v>144</v>
      </c>
      <c r="B15" s="61"/>
      <c r="C15" s="61"/>
      <c r="D15" s="61"/>
      <c r="E15" s="61"/>
      <c r="F15" s="61"/>
      <c r="G15" s="61"/>
      <c r="H15" s="61"/>
      <c r="I15" s="61"/>
      <c r="J15" s="61"/>
      <c r="K15" s="61"/>
      <c r="L15" s="61"/>
      <c r="M15" s="61"/>
      <c r="N15" s="72"/>
    </row>
    <row r="16" spans="1:14" s="49" customFormat="1" ht="14.25" customHeight="1" x14ac:dyDescent="0.25">
      <c r="A16" s="61" t="s">
        <v>145</v>
      </c>
      <c r="B16" s="61"/>
      <c r="C16" s="61"/>
      <c r="D16" s="61"/>
      <c r="E16" s="61"/>
      <c r="F16" s="61"/>
      <c r="G16" s="61"/>
      <c r="H16" s="61"/>
      <c r="I16" s="61"/>
      <c r="J16" s="61"/>
      <c r="K16" s="61"/>
      <c r="L16" s="61"/>
      <c r="M16" s="61"/>
      <c r="N16" s="72"/>
    </row>
    <row r="17" spans="1:16" s="49" customFormat="1" x14ac:dyDescent="0.25">
      <c r="A17" s="151"/>
      <c r="B17" s="149"/>
      <c r="C17" s="149"/>
      <c r="D17" s="149"/>
      <c r="E17" s="149"/>
      <c r="F17" s="149"/>
      <c r="G17" s="149"/>
      <c r="H17" s="149"/>
      <c r="I17" s="149"/>
      <c r="J17" s="149"/>
      <c r="K17" s="149"/>
      <c r="L17" s="45"/>
      <c r="M17" s="45"/>
      <c r="N17" s="72"/>
    </row>
    <row r="18" spans="1:16" s="49" customFormat="1" ht="13.9" customHeight="1" x14ac:dyDescent="0.25">
      <c r="A18" s="114"/>
      <c r="B18" s="113"/>
      <c r="C18" s="115"/>
      <c r="D18" s="113"/>
      <c r="E18" s="113"/>
      <c r="F18" s="116"/>
      <c r="G18" s="117"/>
      <c r="H18" s="118"/>
      <c r="I18" s="119"/>
      <c r="J18" s="120"/>
      <c r="K18" s="113"/>
      <c r="L18" s="77"/>
      <c r="M18" s="77"/>
      <c r="N18" s="72"/>
    </row>
    <row r="19" spans="1:16" s="131" customFormat="1" ht="27.6" customHeight="1" x14ac:dyDescent="0.25">
      <c r="A19" s="123" t="s">
        <v>146</v>
      </c>
      <c r="B19" s="124" t="s">
        <v>147</v>
      </c>
      <c r="C19" s="125" t="s">
        <v>3</v>
      </c>
      <c r="D19" s="124" t="s">
        <v>148</v>
      </c>
      <c r="E19" s="124" t="s">
        <v>149</v>
      </c>
      <c r="F19" s="126" t="s">
        <v>150</v>
      </c>
      <c r="G19" s="126" t="s">
        <v>151</v>
      </c>
      <c r="H19" s="127" t="s">
        <v>152</v>
      </c>
      <c r="I19" s="128" t="s">
        <v>153</v>
      </c>
      <c r="J19" s="127" t="s">
        <v>154</v>
      </c>
      <c r="K19" s="124" t="s">
        <v>155</v>
      </c>
      <c r="L19" s="129"/>
      <c r="M19" s="129"/>
      <c r="N19" s="130"/>
    </row>
    <row r="20" spans="1:16" s="49" customFormat="1" x14ac:dyDescent="0.25">
      <c r="A20" s="78">
        <v>1</v>
      </c>
      <c r="B20" s="40" t="s">
        <v>156</v>
      </c>
      <c r="C20" s="40"/>
      <c r="D20" s="78"/>
      <c r="E20" s="78"/>
      <c r="F20" s="79"/>
      <c r="G20" s="80"/>
      <c r="H20" s="81"/>
      <c r="I20" s="81"/>
      <c r="J20" s="82"/>
      <c r="K20" s="83"/>
      <c r="L20" s="84"/>
      <c r="M20" s="84"/>
      <c r="N20" s="85"/>
      <c r="O20" s="86"/>
      <c r="P20" s="86"/>
    </row>
    <row r="21" spans="1:16" s="49" customFormat="1" x14ac:dyDescent="0.25">
      <c r="A21" s="78"/>
      <c r="B21" s="40" t="s">
        <v>86</v>
      </c>
      <c r="C21" s="40"/>
      <c r="D21" s="78" t="s">
        <v>157</v>
      </c>
      <c r="E21" s="78">
        <v>1</v>
      </c>
      <c r="F21" s="79">
        <v>1650000</v>
      </c>
      <c r="G21" s="80">
        <v>0.08</v>
      </c>
      <c r="H21" s="81">
        <v>1782000</v>
      </c>
      <c r="I21" s="81"/>
      <c r="J21" s="82"/>
      <c r="K21" s="83"/>
      <c r="L21" s="84"/>
      <c r="M21" s="84"/>
      <c r="N21" s="72"/>
    </row>
    <row r="22" spans="1:16" s="49" customFormat="1" x14ac:dyDescent="0.25">
      <c r="A22" s="78"/>
      <c r="B22" s="40" t="s">
        <v>88</v>
      </c>
      <c r="C22" s="40"/>
      <c r="D22" s="78" t="s">
        <v>157</v>
      </c>
      <c r="E22" s="78">
        <v>1</v>
      </c>
      <c r="F22" s="79">
        <v>1100000</v>
      </c>
      <c r="G22" s="80">
        <v>0.08</v>
      </c>
      <c r="H22" s="81">
        <v>1188000</v>
      </c>
      <c r="I22" s="81"/>
      <c r="J22" s="82"/>
      <c r="K22" s="83"/>
      <c r="L22" s="84"/>
      <c r="M22" s="84"/>
      <c r="N22" s="72"/>
    </row>
    <row r="23" spans="1:16" s="49" customFormat="1" x14ac:dyDescent="0.25">
      <c r="A23" s="78"/>
      <c r="B23" s="40" t="s">
        <v>90</v>
      </c>
      <c r="C23" s="40"/>
      <c r="D23" s="78" t="s">
        <v>157</v>
      </c>
      <c r="E23" s="78">
        <v>1</v>
      </c>
      <c r="F23" s="79">
        <v>1100000</v>
      </c>
      <c r="G23" s="80">
        <v>0.08</v>
      </c>
      <c r="H23" s="81">
        <v>1188000</v>
      </c>
      <c r="I23" s="81"/>
      <c r="J23" s="82"/>
      <c r="K23" s="83"/>
      <c r="L23" s="84"/>
      <c r="M23" s="84"/>
      <c r="N23" s="72"/>
    </row>
    <row r="24" spans="1:16" s="49" customFormat="1" x14ac:dyDescent="0.25">
      <c r="A24" s="78"/>
      <c r="B24" s="40" t="s">
        <v>94</v>
      </c>
      <c r="C24" s="41"/>
      <c r="D24" s="78" t="s">
        <v>157</v>
      </c>
      <c r="E24" s="78">
        <v>1</v>
      </c>
      <c r="F24" s="79">
        <v>1650000</v>
      </c>
      <c r="G24" s="80">
        <v>0.08</v>
      </c>
      <c r="H24" s="81">
        <v>1782000</v>
      </c>
      <c r="I24" s="81"/>
      <c r="J24" s="82"/>
      <c r="K24" s="83"/>
      <c r="L24" s="84"/>
      <c r="M24" s="84"/>
      <c r="N24" s="85"/>
      <c r="O24" s="86"/>
    </row>
    <row r="25" spans="1:16" s="49" customFormat="1" ht="12.6" customHeight="1" x14ac:dyDescent="0.25">
      <c r="A25" s="78"/>
      <c r="B25" s="41" t="s">
        <v>99</v>
      </c>
      <c r="C25" s="41"/>
      <c r="D25" s="78" t="s">
        <v>157</v>
      </c>
      <c r="E25" s="78">
        <v>1</v>
      </c>
      <c r="F25" s="79">
        <v>1100000</v>
      </c>
      <c r="G25" s="80">
        <v>0.08</v>
      </c>
      <c r="H25" s="81">
        <v>1188000</v>
      </c>
      <c r="I25" s="81"/>
      <c r="J25" s="82"/>
      <c r="K25" s="83"/>
      <c r="L25" s="84"/>
      <c r="M25" s="84"/>
      <c r="N25" s="85"/>
      <c r="O25" s="86"/>
      <c r="P25" s="86"/>
    </row>
    <row r="26" spans="1:16" s="49" customFormat="1" ht="12.6" customHeight="1" x14ac:dyDescent="0.25">
      <c r="A26" s="78"/>
      <c r="B26" s="41" t="s">
        <v>101</v>
      </c>
      <c r="C26" s="41"/>
      <c r="D26" s="78" t="s">
        <v>157</v>
      </c>
      <c r="E26" s="78">
        <v>1</v>
      </c>
      <c r="F26" s="79">
        <v>1100000</v>
      </c>
      <c r="G26" s="80">
        <v>0.08</v>
      </c>
      <c r="H26" s="81">
        <v>1188000</v>
      </c>
      <c r="I26" s="81"/>
      <c r="J26" s="82"/>
      <c r="K26" s="83"/>
      <c r="L26" s="84"/>
      <c r="M26" s="84"/>
      <c r="N26" s="85"/>
      <c r="O26" s="86"/>
      <c r="P26" s="86"/>
    </row>
    <row r="27" spans="1:16" s="49" customFormat="1" x14ac:dyDescent="0.25">
      <c r="A27" s="78"/>
      <c r="B27" s="41" t="s">
        <v>104</v>
      </c>
      <c r="C27" s="41"/>
      <c r="D27" s="78" t="s">
        <v>157</v>
      </c>
      <c r="E27" s="78">
        <v>1</v>
      </c>
      <c r="F27" s="79">
        <v>1650000</v>
      </c>
      <c r="G27" s="80">
        <v>0.08</v>
      </c>
      <c r="H27" s="81">
        <v>1782000</v>
      </c>
      <c r="I27" s="81"/>
      <c r="J27" s="82"/>
      <c r="K27" s="83"/>
      <c r="L27" s="84"/>
      <c r="M27" s="84"/>
      <c r="N27" s="85"/>
      <c r="O27" s="86"/>
      <c r="P27" s="86"/>
    </row>
    <row r="28" spans="1:16" s="49" customFormat="1" x14ac:dyDescent="0.25">
      <c r="A28" s="78"/>
      <c r="B28" s="41" t="s">
        <v>106</v>
      </c>
      <c r="C28" s="41"/>
      <c r="D28" s="78" t="s">
        <v>157</v>
      </c>
      <c r="E28" s="78">
        <v>1</v>
      </c>
      <c r="F28" s="79">
        <v>1100000</v>
      </c>
      <c r="G28" s="80">
        <v>0.08</v>
      </c>
      <c r="H28" s="81">
        <v>1188000</v>
      </c>
      <c r="I28" s="81"/>
      <c r="J28" s="82"/>
      <c r="K28" s="83"/>
      <c r="L28" s="84"/>
      <c r="M28" s="84"/>
      <c r="N28" s="85"/>
      <c r="O28" s="86"/>
      <c r="P28" s="86"/>
    </row>
    <row r="29" spans="1:16" s="49" customFormat="1" x14ac:dyDescent="0.25">
      <c r="A29" s="78"/>
      <c r="B29" s="41" t="s">
        <v>108</v>
      </c>
      <c r="C29" s="41"/>
      <c r="D29" s="78" t="s">
        <v>157</v>
      </c>
      <c r="E29" s="78">
        <v>1</v>
      </c>
      <c r="F29" s="79">
        <v>1650000</v>
      </c>
      <c r="G29" s="80">
        <v>0.08</v>
      </c>
      <c r="H29" s="81">
        <v>1782000</v>
      </c>
      <c r="I29" s="81"/>
      <c r="J29" s="82"/>
      <c r="K29" s="83"/>
      <c r="L29" s="84"/>
      <c r="M29" s="84"/>
      <c r="N29" s="85"/>
      <c r="O29" s="86"/>
      <c r="P29" s="86"/>
    </row>
    <row r="30" spans="1:16" s="49" customFormat="1" x14ac:dyDescent="0.25">
      <c r="A30" s="78"/>
      <c r="B30" s="41" t="s">
        <v>110</v>
      </c>
      <c r="C30" s="41"/>
      <c r="D30" s="78" t="s">
        <v>157</v>
      </c>
      <c r="E30" s="78">
        <v>1</v>
      </c>
      <c r="F30" s="79">
        <v>1100000</v>
      </c>
      <c r="G30" s="80">
        <v>0.08</v>
      </c>
      <c r="H30" s="81">
        <v>1188000</v>
      </c>
      <c r="I30" s="81"/>
      <c r="J30" s="82"/>
      <c r="K30" s="83"/>
      <c r="L30" s="84"/>
      <c r="M30" s="84"/>
      <c r="N30" s="85"/>
      <c r="O30" s="86"/>
      <c r="P30" s="86"/>
    </row>
    <row r="31" spans="1:16" s="49" customFormat="1" x14ac:dyDescent="0.25">
      <c r="A31" s="78"/>
      <c r="B31" s="41" t="s">
        <v>114</v>
      </c>
      <c r="C31" s="41"/>
      <c r="D31" s="78" t="s">
        <v>157</v>
      </c>
      <c r="E31" s="78">
        <v>1</v>
      </c>
      <c r="F31" s="79">
        <v>1650000</v>
      </c>
      <c r="G31" s="80">
        <v>0.08</v>
      </c>
      <c r="H31" s="81">
        <v>1782000</v>
      </c>
      <c r="I31" s="81"/>
      <c r="J31" s="82"/>
      <c r="K31" s="83"/>
      <c r="L31" s="84"/>
      <c r="M31" s="84"/>
      <c r="N31" s="85"/>
      <c r="O31" s="86"/>
      <c r="P31" s="86"/>
    </row>
    <row r="32" spans="1:16" s="49" customFormat="1" x14ac:dyDescent="0.25">
      <c r="A32" s="78"/>
      <c r="B32" s="41" t="s">
        <v>116</v>
      </c>
      <c r="C32" s="41"/>
      <c r="D32" s="78" t="s">
        <v>157</v>
      </c>
      <c r="E32" s="78">
        <v>1</v>
      </c>
      <c r="F32" s="79">
        <v>1100000</v>
      </c>
      <c r="G32" s="80">
        <v>0.08</v>
      </c>
      <c r="H32" s="81">
        <v>1188000</v>
      </c>
      <c r="I32" s="81"/>
      <c r="J32" s="82"/>
      <c r="K32" s="83"/>
      <c r="L32" s="84"/>
      <c r="M32" s="84"/>
      <c r="N32" s="85"/>
      <c r="O32" s="86"/>
      <c r="P32" s="86"/>
    </row>
    <row r="33" spans="1:16" s="49" customFormat="1" x14ac:dyDescent="0.25">
      <c r="A33" s="78"/>
      <c r="B33" s="41" t="s">
        <v>118</v>
      </c>
      <c r="C33" s="41"/>
      <c r="D33" s="78" t="s">
        <v>157</v>
      </c>
      <c r="E33" s="78">
        <v>1</v>
      </c>
      <c r="F33" s="79">
        <v>1650000</v>
      </c>
      <c r="G33" s="80">
        <v>0.08</v>
      </c>
      <c r="H33" s="81">
        <v>1782000</v>
      </c>
      <c r="I33" s="81"/>
      <c r="J33" s="82"/>
      <c r="K33" s="83"/>
      <c r="L33" s="84"/>
      <c r="M33" s="84"/>
      <c r="N33" s="85"/>
      <c r="O33" s="86"/>
      <c r="P33" s="86"/>
    </row>
    <row r="34" spans="1:16" s="49" customFormat="1" x14ac:dyDescent="0.25">
      <c r="A34" s="78"/>
      <c r="B34" s="41" t="s">
        <v>120</v>
      </c>
      <c r="C34" s="41"/>
      <c r="D34" s="78" t="s">
        <v>157</v>
      </c>
      <c r="E34" s="78">
        <v>1</v>
      </c>
      <c r="F34" s="79">
        <v>1650000</v>
      </c>
      <c r="G34" s="80">
        <v>0.08</v>
      </c>
      <c r="H34" s="81">
        <v>1782000</v>
      </c>
      <c r="I34" s="81"/>
      <c r="J34" s="82"/>
      <c r="K34" s="83"/>
      <c r="L34" s="84"/>
      <c r="M34" s="84"/>
      <c r="N34" s="85"/>
      <c r="O34" s="86"/>
      <c r="P34" s="86"/>
    </row>
    <row r="35" spans="1:16" s="49" customFormat="1" x14ac:dyDescent="0.25">
      <c r="A35" s="78"/>
      <c r="B35" s="41" t="s">
        <v>123</v>
      </c>
      <c r="C35" s="41"/>
      <c r="D35" s="78" t="s">
        <v>157</v>
      </c>
      <c r="E35" s="78">
        <v>1</v>
      </c>
      <c r="F35" s="79">
        <v>1250000</v>
      </c>
      <c r="G35" s="80">
        <v>0.08</v>
      </c>
      <c r="H35" s="81">
        <v>1350000</v>
      </c>
      <c r="I35" s="81"/>
      <c r="J35" s="82"/>
      <c r="K35" s="83"/>
      <c r="L35" s="84"/>
      <c r="M35" s="84"/>
      <c r="N35" s="85"/>
      <c r="O35" s="86"/>
      <c r="P35" s="86"/>
    </row>
    <row r="36" spans="1:16" s="49" customFormat="1" x14ac:dyDescent="0.25">
      <c r="A36" s="78"/>
      <c r="B36" s="41" t="s">
        <v>125</v>
      </c>
      <c r="C36" s="41"/>
      <c r="D36" s="78" t="s">
        <v>157</v>
      </c>
      <c r="E36" s="78">
        <v>1</v>
      </c>
      <c r="F36" s="79">
        <v>2050000</v>
      </c>
      <c r="G36" s="80">
        <v>0.08</v>
      </c>
      <c r="H36" s="81">
        <v>2214000</v>
      </c>
      <c r="I36" s="81"/>
      <c r="J36" s="82"/>
      <c r="K36" s="83"/>
      <c r="L36" s="84"/>
      <c r="M36" s="84"/>
      <c r="N36" s="85"/>
      <c r="O36" s="86"/>
      <c r="P36" s="86"/>
    </row>
    <row r="37" spans="1:16" s="49" customFormat="1" ht="60" customHeight="1" x14ac:dyDescent="0.25">
      <c r="A37" s="78">
        <v>6</v>
      </c>
      <c r="B37" s="41" t="s">
        <v>158</v>
      </c>
      <c r="C37" s="41"/>
      <c r="D37" s="78"/>
      <c r="E37" s="78"/>
      <c r="F37" s="79"/>
      <c r="G37" s="80"/>
      <c r="H37" s="81"/>
      <c r="I37" s="81"/>
      <c r="J37" s="82"/>
      <c r="K37" s="83"/>
      <c r="L37" s="84"/>
      <c r="M37" s="84"/>
      <c r="N37" s="85"/>
      <c r="O37" s="86"/>
      <c r="P37" s="86"/>
    </row>
    <row r="38" spans="1:16" s="49" customFormat="1" x14ac:dyDescent="0.25">
      <c r="A38" s="78"/>
      <c r="B38" s="41" t="s">
        <v>159</v>
      </c>
      <c r="C38" s="41" t="s">
        <v>160</v>
      </c>
      <c r="D38" s="78" t="s">
        <v>161</v>
      </c>
      <c r="E38" s="78">
        <v>1</v>
      </c>
      <c r="F38" s="79">
        <v>1500000</v>
      </c>
      <c r="G38" s="80">
        <v>0.08</v>
      </c>
      <c r="H38" s="81">
        <v>1620000</v>
      </c>
      <c r="I38" s="81"/>
      <c r="J38" s="82"/>
      <c r="K38" s="83"/>
      <c r="L38" s="84"/>
      <c r="M38" s="84"/>
      <c r="N38" s="85"/>
      <c r="O38" s="86"/>
      <c r="P38" s="86"/>
    </row>
    <row r="39" spans="1:16" s="49" customFormat="1" ht="55.15" customHeight="1" x14ac:dyDescent="0.25">
      <c r="A39" s="87"/>
      <c r="B39" s="107" t="s">
        <v>162</v>
      </c>
      <c r="C39" s="107" t="s">
        <v>111</v>
      </c>
      <c r="D39" s="87" t="s">
        <v>161</v>
      </c>
      <c r="E39" s="87">
        <v>1</v>
      </c>
      <c r="F39" s="108">
        <v>1463000</v>
      </c>
      <c r="G39" s="109">
        <v>0.08</v>
      </c>
      <c r="H39" s="110">
        <v>1580040</v>
      </c>
      <c r="I39" s="110"/>
      <c r="J39" s="111"/>
      <c r="K39" s="112"/>
      <c r="L39" s="84"/>
      <c r="M39" s="84"/>
      <c r="N39" s="85"/>
      <c r="O39" s="86"/>
      <c r="P39" s="86"/>
    </row>
    <row r="40" spans="1:16" s="49" customFormat="1" ht="45" customHeight="1" x14ac:dyDescent="0.25">
      <c r="A40" s="78">
        <v>4</v>
      </c>
      <c r="B40" s="41" t="s">
        <v>163</v>
      </c>
      <c r="C40" s="41"/>
      <c r="D40" s="78"/>
      <c r="E40" s="78"/>
      <c r="F40" s="79"/>
      <c r="G40" s="80"/>
      <c r="H40" s="81"/>
      <c r="I40" s="81"/>
      <c r="J40" s="82"/>
      <c r="K40" s="83"/>
      <c r="L40" s="84"/>
      <c r="M40" s="84"/>
      <c r="N40" s="85"/>
      <c r="O40" s="86"/>
      <c r="P40" s="86"/>
    </row>
    <row r="41" spans="1:16" s="49" customFormat="1" x14ac:dyDescent="0.25">
      <c r="A41" s="78"/>
      <c r="B41" s="41" t="s">
        <v>125</v>
      </c>
      <c r="C41" s="41" t="s">
        <v>111</v>
      </c>
      <c r="D41" s="78" t="s">
        <v>161</v>
      </c>
      <c r="E41" s="78">
        <v>1</v>
      </c>
      <c r="F41" s="79">
        <v>782000</v>
      </c>
      <c r="G41" s="80">
        <v>0.08</v>
      </c>
      <c r="H41" s="81">
        <v>844560</v>
      </c>
      <c r="I41" s="81"/>
      <c r="J41" s="82"/>
      <c r="K41" s="83"/>
      <c r="L41" s="84"/>
      <c r="M41" s="84"/>
      <c r="N41" s="85"/>
      <c r="O41" s="86"/>
      <c r="P41" s="86"/>
    </row>
    <row r="42" spans="1:16" s="49" customFormat="1" ht="41.45" customHeight="1" x14ac:dyDescent="0.25">
      <c r="A42" s="87"/>
      <c r="B42" s="107" t="s">
        <v>125</v>
      </c>
      <c r="C42" s="107" t="s">
        <v>164</v>
      </c>
      <c r="D42" s="87" t="s">
        <v>161</v>
      </c>
      <c r="E42" s="87">
        <v>1</v>
      </c>
      <c r="F42" s="108">
        <v>782000</v>
      </c>
      <c r="G42" s="109">
        <v>0.08</v>
      </c>
      <c r="H42" s="110">
        <v>844560</v>
      </c>
      <c r="I42" s="110"/>
      <c r="J42" s="111"/>
      <c r="K42" s="112"/>
      <c r="L42" s="84"/>
      <c r="M42" s="84"/>
      <c r="N42" s="85"/>
      <c r="O42" s="86"/>
      <c r="P42" s="86"/>
    </row>
    <row r="43" spans="1:16" s="49" customFormat="1" x14ac:dyDescent="0.25">
      <c r="A43" s="78"/>
      <c r="B43" s="41"/>
      <c r="C43" s="41"/>
      <c r="D43" s="78"/>
      <c r="E43" s="78"/>
      <c r="F43" s="79"/>
      <c r="G43" s="80"/>
      <c r="H43" s="81"/>
      <c r="I43" s="81"/>
      <c r="J43" s="82"/>
      <c r="K43" s="83"/>
      <c r="L43" s="84"/>
      <c r="M43" s="84"/>
      <c r="N43" s="85"/>
      <c r="O43" s="86"/>
      <c r="P43" s="86"/>
    </row>
    <row r="44" spans="1:16" s="49" customFormat="1" ht="41.45" customHeight="1" x14ac:dyDescent="0.25">
      <c r="A44" s="87"/>
      <c r="B44" s="107"/>
      <c r="C44" s="107"/>
      <c r="D44" s="87"/>
      <c r="E44" s="87"/>
      <c r="F44" s="108"/>
      <c r="G44" s="109"/>
      <c r="H44" s="110"/>
      <c r="I44" s="110"/>
      <c r="J44" s="111"/>
      <c r="K44" s="112"/>
      <c r="L44" s="84"/>
      <c r="M44" s="84"/>
      <c r="N44" s="85"/>
      <c r="O44" s="86"/>
      <c r="P44" s="86"/>
    </row>
    <row r="45" spans="1:16" s="49" customFormat="1" x14ac:dyDescent="0.25">
      <c r="A45" s="78"/>
      <c r="B45" s="41"/>
      <c r="C45" s="41"/>
      <c r="D45" s="78"/>
      <c r="E45" s="78"/>
      <c r="F45" s="79"/>
      <c r="G45" s="80"/>
      <c r="H45" s="81"/>
      <c r="I45" s="81"/>
      <c r="J45" s="82"/>
      <c r="K45" s="83"/>
      <c r="L45" s="84"/>
      <c r="M45" s="84"/>
      <c r="N45" s="85"/>
      <c r="O45" s="86"/>
      <c r="P45" s="86"/>
    </row>
    <row r="46" spans="1:16" s="49" customFormat="1" ht="41.45" customHeight="1" x14ac:dyDescent="0.25">
      <c r="A46" s="87"/>
      <c r="B46" s="107"/>
      <c r="C46" s="107"/>
      <c r="D46" s="87"/>
      <c r="E46" s="87"/>
      <c r="F46" s="108"/>
      <c r="G46" s="109"/>
      <c r="H46" s="110"/>
      <c r="I46" s="110"/>
      <c r="J46" s="111"/>
      <c r="K46" s="112"/>
      <c r="L46" s="84"/>
      <c r="M46" s="84"/>
      <c r="N46" s="85"/>
      <c r="O46" s="86"/>
      <c r="P46" s="86"/>
    </row>
    <row r="47" spans="1:16" s="49" customFormat="1" x14ac:dyDescent="0.25">
      <c r="A47" s="78"/>
      <c r="B47" s="41"/>
      <c r="C47" s="41"/>
      <c r="D47" s="78"/>
      <c r="E47" s="78"/>
      <c r="F47" s="79"/>
      <c r="G47" s="80"/>
      <c r="H47" s="81"/>
      <c r="I47" s="81"/>
      <c r="J47" s="82"/>
      <c r="K47" s="83"/>
      <c r="L47" s="84"/>
      <c r="M47" s="84"/>
      <c r="N47" s="85"/>
      <c r="O47" s="86"/>
      <c r="P47" s="86"/>
    </row>
    <row r="48" spans="1:16" s="49" customFormat="1" x14ac:dyDescent="0.25">
      <c r="A48" s="78"/>
      <c r="B48" s="41"/>
      <c r="C48" s="41"/>
      <c r="D48" s="78"/>
      <c r="E48" s="78"/>
      <c r="F48" s="79"/>
      <c r="G48" s="80"/>
      <c r="H48" s="81"/>
      <c r="I48" s="81"/>
      <c r="J48" s="82"/>
      <c r="K48" s="83"/>
      <c r="L48" s="84"/>
      <c r="M48" s="84"/>
      <c r="N48" s="85"/>
      <c r="O48" s="86"/>
      <c r="P48" s="86"/>
    </row>
    <row r="49" spans="1:16" s="49" customFormat="1" x14ac:dyDescent="0.25">
      <c r="A49" s="78"/>
      <c r="B49" s="41"/>
      <c r="C49" s="41"/>
      <c r="D49" s="78"/>
      <c r="E49" s="78"/>
      <c r="F49" s="79"/>
      <c r="G49" s="80"/>
      <c r="H49" s="81"/>
      <c r="I49" s="81"/>
      <c r="J49" s="82"/>
      <c r="K49" s="83"/>
      <c r="L49" s="84"/>
      <c r="M49" s="84"/>
      <c r="N49" s="85"/>
      <c r="O49" s="86"/>
      <c r="P49" s="86"/>
    </row>
    <row r="50" spans="1:16" s="49" customFormat="1" x14ac:dyDescent="0.25">
      <c r="A50" s="78"/>
      <c r="B50" s="41"/>
      <c r="C50" s="41"/>
      <c r="D50" s="78"/>
      <c r="E50" s="78"/>
      <c r="F50" s="79"/>
      <c r="G50" s="80"/>
      <c r="H50" s="81"/>
      <c r="I50" s="81"/>
      <c r="J50" s="82"/>
      <c r="K50" s="83"/>
      <c r="L50" s="84"/>
      <c r="M50" s="84"/>
      <c r="N50" s="85"/>
      <c r="O50" s="86"/>
      <c r="P50" s="86"/>
    </row>
  </sheetData>
  <mergeCells count="6">
    <mergeCell ref="D5:F5"/>
    <mergeCell ref="B13:K13"/>
    <mergeCell ref="G5:H5"/>
    <mergeCell ref="I5:J5"/>
    <mergeCell ref="A17:K17"/>
    <mergeCell ref="A8:K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8"/>
  <sheetViews>
    <sheetView topLeftCell="A7" zoomScaleNormal="100" workbookViewId="0">
      <selection activeCell="C14" sqref="C14:C23"/>
    </sheetView>
  </sheetViews>
  <sheetFormatPr defaultColWidth="8.85546875" defaultRowHeight="15" x14ac:dyDescent="0.25"/>
  <cols>
    <col min="1" max="1" width="14.28515625" style="92" customWidth="1"/>
    <col min="2" max="2" width="14.7109375" style="47" customWidth="1"/>
    <col min="3" max="3" width="68.140625" style="105" customWidth="1"/>
    <col min="4" max="4" width="14.7109375" style="48" bestFit="1" customWidth="1"/>
    <col min="5" max="6" width="8.85546875" style="48" customWidth="1"/>
    <col min="7" max="8" width="17.85546875" style="48" customWidth="1"/>
    <col min="9" max="23" width="8.85546875" style="48" customWidth="1"/>
    <col min="24" max="16384" width="8.85546875" style="48"/>
  </cols>
  <sheetData>
    <row r="1" spans="1:8" s="106" customFormat="1" ht="14.25" customHeight="1" x14ac:dyDescent="0.25">
      <c r="A1" s="112" t="s">
        <v>0</v>
      </c>
      <c r="B1" s="138" t="s">
        <v>1</v>
      </c>
      <c r="C1" s="139" t="s">
        <v>2</v>
      </c>
      <c r="D1" s="140" t="s">
        <v>3</v>
      </c>
      <c r="E1" s="141" t="s">
        <v>4</v>
      </c>
      <c r="F1" s="141" t="s">
        <v>5</v>
      </c>
      <c r="G1" s="141" t="s">
        <v>6</v>
      </c>
      <c r="H1" s="76"/>
    </row>
    <row r="2" spans="1:8" s="49" customFormat="1" ht="12.6" customHeight="1" x14ac:dyDescent="0.25">
      <c r="A2" s="83" t="s">
        <v>165</v>
      </c>
      <c r="B2" s="142" t="s">
        <v>166</v>
      </c>
      <c r="C2" s="143" t="s">
        <v>167</v>
      </c>
      <c r="D2" s="144"/>
      <c r="E2" s="145" t="s">
        <v>157</v>
      </c>
      <c r="F2" s="145">
        <v>1</v>
      </c>
      <c r="G2" s="145">
        <v>1100000</v>
      </c>
    </row>
    <row r="3" spans="1:8" s="49" customFormat="1" ht="12.6" customHeight="1" x14ac:dyDescent="0.25">
      <c r="A3" s="83" t="s">
        <v>165</v>
      </c>
      <c r="B3" s="142"/>
      <c r="C3" s="143" t="s">
        <v>87</v>
      </c>
      <c r="D3" s="144"/>
      <c r="E3" s="145"/>
      <c r="F3" s="145"/>
      <c r="G3" s="145"/>
    </row>
    <row r="4" spans="1:8" s="49" customFormat="1" x14ac:dyDescent="0.25">
      <c r="A4" s="83" t="s">
        <v>168</v>
      </c>
      <c r="B4" s="142" t="s">
        <v>166</v>
      </c>
      <c r="C4" s="143" t="s">
        <v>169</v>
      </c>
      <c r="D4" s="144"/>
      <c r="E4" s="145" t="s">
        <v>157</v>
      </c>
      <c r="F4" s="145">
        <v>1</v>
      </c>
      <c r="G4" s="145">
        <v>1100000</v>
      </c>
    </row>
    <row r="5" spans="1:8" s="49" customFormat="1" x14ac:dyDescent="0.25">
      <c r="A5" s="83" t="s">
        <v>168</v>
      </c>
      <c r="B5" s="142"/>
      <c r="C5" s="143" t="s">
        <v>89</v>
      </c>
      <c r="D5" s="144"/>
      <c r="E5" s="145"/>
      <c r="F5" s="145"/>
      <c r="G5" s="145"/>
    </row>
    <row r="6" spans="1:8" s="49" customFormat="1" x14ac:dyDescent="0.25">
      <c r="A6" s="83" t="s">
        <v>170</v>
      </c>
      <c r="B6" s="142" t="s">
        <v>166</v>
      </c>
      <c r="C6" s="143" t="s">
        <v>171</v>
      </c>
      <c r="D6" s="144"/>
      <c r="E6" s="145" t="s">
        <v>157</v>
      </c>
      <c r="F6" s="145">
        <v>1</v>
      </c>
      <c r="G6" s="145">
        <v>2050000</v>
      </c>
    </row>
    <row r="7" spans="1:8" s="49" customFormat="1" ht="26.45" customHeight="1" x14ac:dyDescent="0.25">
      <c r="A7" s="83" t="s">
        <v>170</v>
      </c>
      <c r="B7" s="142" t="s">
        <v>172</v>
      </c>
      <c r="C7" s="143" t="s">
        <v>173</v>
      </c>
      <c r="D7" s="144" t="s">
        <v>111</v>
      </c>
      <c r="E7" s="145" t="s">
        <v>161</v>
      </c>
      <c r="F7" s="145">
        <v>1</v>
      </c>
      <c r="G7" s="145">
        <v>300000</v>
      </c>
    </row>
    <row r="8" spans="1:8" s="49" customFormat="1" x14ac:dyDescent="0.25">
      <c r="A8" s="83" t="s">
        <v>170</v>
      </c>
      <c r="B8" s="142"/>
      <c r="C8" s="143" t="s">
        <v>93</v>
      </c>
      <c r="D8" s="144"/>
      <c r="E8" s="145"/>
      <c r="F8" s="145"/>
      <c r="G8" s="145"/>
    </row>
    <row r="9" spans="1:8" s="49" customFormat="1" x14ac:dyDescent="0.25">
      <c r="A9" s="83" t="s">
        <v>174</v>
      </c>
      <c r="B9" s="142" t="s">
        <v>166</v>
      </c>
      <c r="C9" s="143" t="s">
        <v>175</v>
      </c>
      <c r="D9" s="144"/>
      <c r="E9" s="145" t="s">
        <v>157</v>
      </c>
      <c r="F9" s="145">
        <v>1</v>
      </c>
      <c r="G9" s="145">
        <v>750000</v>
      </c>
    </row>
    <row r="10" spans="1:8" s="49" customFormat="1" ht="26.45" customHeight="1" x14ac:dyDescent="0.25">
      <c r="A10" s="83" t="s">
        <v>174</v>
      </c>
      <c r="B10" s="142" t="s">
        <v>172</v>
      </c>
      <c r="C10" s="143" t="s">
        <v>176</v>
      </c>
      <c r="D10" s="144" t="s">
        <v>95</v>
      </c>
      <c r="E10" s="145" t="s">
        <v>161</v>
      </c>
      <c r="F10" s="145">
        <v>1</v>
      </c>
      <c r="G10" s="145">
        <v>662000</v>
      </c>
    </row>
    <row r="11" spans="1:8" s="49" customFormat="1" x14ac:dyDescent="0.25">
      <c r="A11" s="83" t="s">
        <v>174</v>
      </c>
      <c r="B11" s="142"/>
      <c r="C11" s="143" t="s">
        <v>98</v>
      </c>
      <c r="D11" s="144"/>
      <c r="E11" s="145"/>
      <c r="F11" s="145"/>
      <c r="G11" s="145"/>
    </row>
    <row r="12" spans="1:8" s="49" customFormat="1" x14ac:dyDescent="0.25">
      <c r="A12" s="83" t="s">
        <v>177</v>
      </c>
      <c r="B12" s="142" t="s">
        <v>166</v>
      </c>
      <c r="C12" s="143" t="s">
        <v>178</v>
      </c>
      <c r="D12" s="144"/>
      <c r="E12" s="145" t="s">
        <v>157</v>
      </c>
      <c r="F12" s="145">
        <v>1</v>
      </c>
      <c r="G12" s="145">
        <v>1100000</v>
      </c>
    </row>
    <row r="13" spans="1:8" s="49" customFormat="1" x14ac:dyDescent="0.25">
      <c r="A13" s="83" t="s">
        <v>177</v>
      </c>
      <c r="B13" s="142"/>
      <c r="C13" s="143" t="s">
        <v>100</v>
      </c>
      <c r="D13" s="144"/>
      <c r="E13" s="145"/>
      <c r="F13" s="145"/>
      <c r="G13" s="145"/>
    </row>
    <row r="14" spans="1:8" s="132" customFormat="1" x14ac:dyDescent="0.25">
      <c r="A14" s="133" t="s">
        <v>179</v>
      </c>
      <c r="B14" s="134" t="s">
        <v>166</v>
      </c>
      <c r="C14" s="135" t="s">
        <v>180</v>
      </c>
      <c r="D14" s="136"/>
      <c r="E14" s="137" t="s">
        <v>157</v>
      </c>
      <c r="F14" s="137">
        <v>1</v>
      </c>
      <c r="G14" s="137">
        <v>2050000</v>
      </c>
    </row>
    <row r="15" spans="1:8" s="132" customFormat="1" ht="26.45" customHeight="1" x14ac:dyDescent="0.25">
      <c r="A15" s="133" t="s">
        <v>179</v>
      </c>
      <c r="B15" s="134" t="s">
        <v>172</v>
      </c>
      <c r="C15" s="135" t="s">
        <v>181</v>
      </c>
      <c r="D15" s="136" t="s">
        <v>111</v>
      </c>
      <c r="E15" s="137" t="s">
        <v>161</v>
      </c>
      <c r="F15" s="137">
        <v>1</v>
      </c>
      <c r="G15" s="137">
        <v>300000</v>
      </c>
    </row>
    <row r="16" spans="1:8" s="132" customFormat="1" x14ac:dyDescent="0.25">
      <c r="A16" s="133" t="s">
        <v>179</v>
      </c>
      <c r="B16" s="134"/>
      <c r="C16" s="135" t="s">
        <v>103</v>
      </c>
      <c r="D16" s="136"/>
      <c r="E16" s="137"/>
      <c r="F16" s="137"/>
      <c r="G16" s="137"/>
    </row>
    <row r="17" spans="1:7" s="49" customFormat="1" x14ac:dyDescent="0.25">
      <c r="A17" s="83" t="s">
        <v>182</v>
      </c>
      <c r="B17" s="142" t="s">
        <v>166</v>
      </c>
      <c r="C17" s="143" t="s">
        <v>183</v>
      </c>
      <c r="D17" s="144"/>
      <c r="E17" s="145" t="s">
        <v>157</v>
      </c>
      <c r="F17" s="145">
        <v>1</v>
      </c>
      <c r="G17" s="145">
        <v>1100000</v>
      </c>
    </row>
    <row r="18" spans="1:7" s="49" customFormat="1" x14ac:dyDescent="0.25">
      <c r="A18" s="83" t="s">
        <v>182</v>
      </c>
      <c r="B18" s="142"/>
      <c r="C18" s="143" t="s">
        <v>105</v>
      </c>
      <c r="D18" s="144"/>
      <c r="E18" s="145"/>
      <c r="F18" s="145"/>
      <c r="G18" s="145"/>
    </row>
    <row r="19" spans="1:7" s="49" customFormat="1" x14ac:dyDescent="0.25">
      <c r="A19" s="83" t="s">
        <v>184</v>
      </c>
      <c r="B19" s="142" t="s">
        <v>166</v>
      </c>
      <c r="C19" s="143" t="s">
        <v>185</v>
      </c>
      <c r="D19" s="144"/>
      <c r="E19" s="145" t="s">
        <v>157</v>
      </c>
      <c r="F19" s="145">
        <v>1</v>
      </c>
      <c r="G19" s="145">
        <v>1100000</v>
      </c>
    </row>
    <row r="20" spans="1:7" s="49" customFormat="1" x14ac:dyDescent="0.25">
      <c r="A20" s="83" t="s">
        <v>184</v>
      </c>
      <c r="B20" s="142"/>
      <c r="C20" s="143" t="s">
        <v>107</v>
      </c>
      <c r="D20" s="144"/>
      <c r="E20" s="145"/>
      <c r="F20" s="145"/>
      <c r="G20" s="145"/>
    </row>
    <row r="21" spans="1:7" s="49" customFormat="1" x14ac:dyDescent="0.25">
      <c r="A21" s="83" t="s">
        <v>186</v>
      </c>
      <c r="B21" s="142" t="s">
        <v>166</v>
      </c>
      <c r="C21" s="143" t="s">
        <v>187</v>
      </c>
      <c r="D21" s="144"/>
      <c r="E21" s="145" t="s">
        <v>157</v>
      </c>
      <c r="F21" s="145">
        <v>1</v>
      </c>
      <c r="G21" s="145">
        <v>1650000</v>
      </c>
    </row>
    <row r="22" spans="1:7" s="49" customFormat="1" x14ac:dyDescent="0.25">
      <c r="A22" s="83" t="s">
        <v>186</v>
      </c>
      <c r="B22" s="142"/>
      <c r="C22" s="143" t="s">
        <v>109</v>
      </c>
      <c r="D22" s="144"/>
      <c r="E22" s="145"/>
      <c r="F22" s="145"/>
      <c r="G22" s="145"/>
    </row>
    <row r="23" spans="1:7" s="49" customFormat="1" x14ac:dyDescent="0.25">
      <c r="A23" s="83" t="s">
        <v>188</v>
      </c>
      <c r="B23" s="142" t="s">
        <v>166</v>
      </c>
      <c r="C23" s="143" t="s">
        <v>189</v>
      </c>
      <c r="D23" s="144"/>
      <c r="E23" s="145" t="s">
        <v>157</v>
      </c>
      <c r="F23" s="145">
        <v>1</v>
      </c>
      <c r="G23" s="145">
        <v>2050000</v>
      </c>
    </row>
    <row r="24" spans="1:7" s="49" customFormat="1" ht="26.45" customHeight="1" x14ac:dyDescent="0.25">
      <c r="A24" s="83" t="s">
        <v>188</v>
      </c>
      <c r="B24" s="142" t="s">
        <v>172</v>
      </c>
      <c r="C24" s="143" t="s">
        <v>190</v>
      </c>
      <c r="D24" s="144" t="s">
        <v>111</v>
      </c>
      <c r="E24" s="145" t="s">
        <v>161</v>
      </c>
      <c r="F24" s="145">
        <v>1</v>
      </c>
      <c r="G24" s="145">
        <v>1163000</v>
      </c>
    </row>
    <row r="25" spans="1:7" s="49" customFormat="1" x14ac:dyDescent="0.25">
      <c r="A25" s="83" t="s">
        <v>188</v>
      </c>
      <c r="B25" s="142"/>
      <c r="C25" s="143" t="s">
        <v>113</v>
      </c>
      <c r="D25" s="144"/>
      <c r="E25" s="145"/>
      <c r="F25" s="145"/>
      <c r="G25" s="145"/>
    </row>
    <row r="26" spans="1:7" s="49" customFormat="1" x14ac:dyDescent="0.25">
      <c r="A26" s="83" t="s">
        <v>191</v>
      </c>
      <c r="B26" s="142" t="s">
        <v>166</v>
      </c>
      <c r="C26" s="143" t="s">
        <v>192</v>
      </c>
      <c r="D26" s="144"/>
      <c r="E26" s="145" t="s">
        <v>157</v>
      </c>
      <c r="F26" s="145">
        <v>1</v>
      </c>
      <c r="G26" s="145">
        <v>1100000</v>
      </c>
    </row>
    <row r="27" spans="1:7" s="49" customFormat="1" x14ac:dyDescent="0.25">
      <c r="A27" s="83" t="s">
        <v>191</v>
      </c>
      <c r="B27" s="142"/>
      <c r="C27" s="143" t="s">
        <v>115</v>
      </c>
      <c r="D27" s="144"/>
      <c r="E27" s="145"/>
      <c r="F27" s="145"/>
      <c r="G27" s="145"/>
    </row>
    <row r="28" spans="1:7" s="49" customFormat="1" x14ac:dyDescent="0.25">
      <c r="A28" s="83" t="s">
        <v>193</v>
      </c>
      <c r="B28" s="142" t="s">
        <v>166</v>
      </c>
      <c r="C28" s="143" t="s">
        <v>194</v>
      </c>
      <c r="D28" s="144"/>
      <c r="E28" s="145" t="s">
        <v>157</v>
      </c>
      <c r="F28" s="145">
        <v>1</v>
      </c>
      <c r="G28" s="145">
        <v>1650000</v>
      </c>
    </row>
    <row r="29" spans="1:7" s="49" customFormat="1" x14ac:dyDescent="0.25">
      <c r="A29" s="83" t="s">
        <v>193</v>
      </c>
      <c r="B29" s="142"/>
      <c r="C29" s="143" t="s">
        <v>117</v>
      </c>
      <c r="D29" s="144"/>
      <c r="E29" s="145"/>
      <c r="F29" s="145"/>
      <c r="G29" s="145"/>
    </row>
    <row r="30" spans="1:7" s="49" customFormat="1" x14ac:dyDescent="0.25">
      <c r="A30" s="83" t="s">
        <v>195</v>
      </c>
      <c r="B30" s="142" t="s">
        <v>166</v>
      </c>
      <c r="C30" s="143" t="s">
        <v>196</v>
      </c>
      <c r="D30" s="144"/>
      <c r="E30" s="145" t="s">
        <v>157</v>
      </c>
      <c r="F30" s="145">
        <v>1</v>
      </c>
      <c r="G30" s="145">
        <v>1650000</v>
      </c>
    </row>
    <row r="31" spans="1:7" s="49" customFormat="1" ht="26.45" customHeight="1" x14ac:dyDescent="0.25">
      <c r="A31" s="83" t="s">
        <v>195</v>
      </c>
      <c r="B31" s="142" t="s">
        <v>172</v>
      </c>
      <c r="C31" s="143" t="s">
        <v>197</v>
      </c>
      <c r="D31" s="144" t="s">
        <v>111</v>
      </c>
      <c r="E31" s="145" t="s">
        <v>161</v>
      </c>
      <c r="F31" s="145">
        <v>1</v>
      </c>
      <c r="G31" s="145">
        <v>1163000</v>
      </c>
    </row>
    <row r="32" spans="1:7" s="49" customFormat="1" x14ac:dyDescent="0.25">
      <c r="A32" s="83" t="s">
        <v>195</v>
      </c>
      <c r="B32" s="142"/>
      <c r="C32" s="143" t="s">
        <v>119</v>
      </c>
      <c r="D32" s="144"/>
      <c r="E32" s="145"/>
      <c r="F32" s="145"/>
      <c r="G32" s="145"/>
    </row>
    <row r="33" spans="1:7" s="49" customFormat="1" x14ac:dyDescent="0.25">
      <c r="A33" s="83" t="s">
        <v>198</v>
      </c>
      <c r="B33" s="142" t="s">
        <v>166</v>
      </c>
      <c r="C33" s="143" t="s">
        <v>199</v>
      </c>
      <c r="D33" s="144"/>
      <c r="E33" s="145" t="s">
        <v>157</v>
      </c>
      <c r="F33" s="145">
        <v>1</v>
      </c>
      <c r="G33" s="145">
        <v>2100000</v>
      </c>
    </row>
    <row r="34" spans="1:7" s="49" customFormat="1" ht="26.45" customHeight="1" x14ac:dyDescent="0.25">
      <c r="A34" s="83" t="s">
        <v>198</v>
      </c>
      <c r="B34" s="142" t="s">
        <v>172</v>
      </c>
      <c r="C34" s="143" t="s">
        <v>200</v>
      </c>
      <c r="D34" s="144" t="s">
        <v>111</v>
      </c>
      <c r="E34" s="145" t="s">
        <v>201</v>
      </c>
      <c r="F34" s="145">
        <v>1</v>
      </c>
      <c r="G34" s="145">
        <v>662000</v>
      </c>
    </row>
    <row r="35" spans="1:7" s="49" customFormat="1" x14ac:dyDescent="0.25">
      <c r="A35" s="83" t="s">
        <v>198</v>
      </c>
      <c r="B35" s="142"/>
      <c r="C35" s="143" t="s">
        <v>122</v>
      </c>
      <c r="D35" s="144"/>
      <c r="E35" s="145"/>
      <c r="F35" s="145"/>
      <c r="G35" s="145"/>
    </row>
    <row r="36" spans="1:7" s="49" customFormat="1" x14ac:dyDescent="0.25">
      <c r="A36" s="83" t="s">
        <v>202</v>
      </c>
      <c r="B36" s="142" t="s">
        <v>166</v>
      </c>
      <c r="C36" s="143" t="s">
        <v>203</v>
      </c>
      <c r="D36" s="144"/>
      <c r="E36" s="145" t="s">
        <v>157</v>
      </c>
      <c r="F36" s="145">
        <v>1</v>
      </c>
      <c r="G36" s="145">
        <v>1100000</v>
      </c>
    </row>
    <row r="37" spans="1:7" s="49" customFormat="1" x14ac:dyDescent="0.25">
      <c r="A37" s="83" t="s">
        <v>202</v>
      </c>
      <c r="B37" s="142"/>
      <c r="C37" s="143" t="s">
        <v>124</v>
      </c>
      <c r="D37" s="144"/>
      <c r="E37" s="145"/>
      <c r="F37" s="145"/>
      <c r="G37" s="145"/>
    </row>
    <row r="38" spans="1:7" s="49" customFormat="1" x14ac:dyDescent="0.25">
      <c r="A38" s="83" t="s">
        <v>204</v>
      </c>
      <c r="B38" s="142" t="s">
        <v>166</v>
      </c>
      <c r="C38" s="143" t="s">
        <v>205</v>
      </c>
      <c r="D38" s="144"/>
      <c r="E38" s="145" t="s">
        <v>157</v>
      </c>
      <c r="F38" s="145">
        <v>1</v>
      </c>
      <c r="G38" s="145">
        <v>2050000</v>
      </c>
    </row>
    <row r="39" spans="1:7" s="49" customFormat="1" x14ac:dyDescent="0.25">
      <c r="A39" s="83" t="s">
        <v>204</v>
      </c>
      <c r="B39" s="142"/>
      <c r="C39" s="143" t="s">
        <v>126</v>
      </c>
      <c r="D39" s="144"/>
      <c r="E39" s="145"/>
      <c r="F39" s="145"/>
      <c r="G39" s="145"/>
    </row>
    <row r="40" spans="1:7" s="49" customFormat="1" x14ac:dyDescent="0.25">
      <c r="A40" s="83" t="s">
        <v>206</v>
      </c>
      <c r="B40" s="142" t="s">
        <v>166</v>
      </c>
      <c r="C40" s="143" t="s">
        <v>207</v>
      </c>
      <c r="D40" s="144"/>
      <c r="E40" s="145" t="s">
        <v>157</v>
      </c>
      <c r="F40" s="145">
        <v>1</v>
      </c>
      <c r="G40" s="145">
        <v>1650000</v>
      </c>
    </row>
    <row r="41" spans="1:7" s="49" customFormat="1" x14ac:dyDescent="0.25">
      <c r="A41" s="83" t="s">
        <v>206</v>
      </c>
      <c r="B41" s="142"/>
      <c r="C41" s="143" t="s">
        <v>127</v>
      </c>
      <c r="D41" s="144"/>
      <c r="E41" s="145"/>
      <c r="F41" s="145"/>
      <c r="G41" s="145"/>
    </row>
    <row r="42" spans="1:7" s="49" customFormat="1" x14ac:dyDescent="0.25">
      <c r="A42" s="83" t="s">
        <v>208</v>
      </c>
      <c r="B42" s="142" t="s">
        <v>166</v>
      </c>
      <c r="C42" s="143" t="s">
        <v>209</v>
      </c>
      <c r="D42" s="144"/>
      <c r="E42" s="145" t="s">
        <v>157</v>
      </c>
      <c r="F42" s="145">
        <v>1</v>
      </c>
      <c r="G42" s="145">
        <v>4800000</v>
      </c>
    </row>
    <row r="43" spans="1:7" s="49" customFormat="1" ht="26.45" customHeight="1" x14ac:dyDescent="0.25">
      <c r="A43" s="83" t="s">
        <v>208</v>
      </c>
      <c r="B43" s="142" t="s">
        <v>172</v>
      </c>
      <c r="C43" s="143" t="s">
        <v>210</v>
      </c>
      <c r="D43" s="145" t="s">
        <v>211</v>
      </c>
      <c r="E43" s="145" t="s">
        <v>161</v>
      </c>
      <c r="F43" s="145">
        <v>1</v>
      </c>
      <c r="G43" s="145">
        <v>782000</v>
      </c>
    </row>
    <row r="44" spans="1:7" s="49" customFormat="1" ht="26.45" customHeight="1" x14ac:dyDescent="0.25">
      <c r="A44" s="83" t="s">
        <v>208</v>
      </c>
      <c r="B44" s="142" t="s">
        <v>172</v>
      </c>
      <c r="C44" s="143" t="s">
        <v>210</v>
      </c>
      <c r="D44" s="145" t="s">
        <v>164</v>
      </c>
      <c r="E44" s="145" t="s">
        <v>161</v>
      </c>
      <c r="F44" s="145">
        <v>1</v>
      </c>
      <c r="G44" s="145">
        <v>782000</v>
      </c>
    </row>
    <row r="45" spans="1:7" s="49" customFormat="1" ht="26.45" customHeight="1" x14ac:dyDescent="0.25">
      <c r="A45" s="83" t="s">
        <v>208</v>
      </c>
      <c r="B45" s="142" t="s">
        <v>172</v>
      </c>
      <c r="C45" s="143" t="s">
        <v>210</v>
      </c>
      <c r="D45" s="145" t="s">
        <v>212</v>
      </c>
      <c r="E45" s="145" t="s">
        <v>161</v>
      </c>
      <c r="F45" s="145">
        <v>1</v>
      </c>
      <c r="G45" s="145">
        <v>782000</v>
      </c>
    </row>
    <row r="46" spans="1:7" s="49" customFormat="1" ht="26.45" customHeight="1" x14ac:dyDescent="0.25">
      <c r="A46" s="83" t="s">
        <v>208</v>
      </c>
      <c r="B46" s="142" t="s">
        <v>172</v>
      </c>
      <c r="C46" s="143" t="s">
        <v>210</v>
      </c>
      <c r="D46" s="145" t="s">
        <v>213</v>
      </c>
      <c r="E46" s="145" t="s">
        <v>161</v>
      </c>
      <c r="F46" s="145">
        <v>1</v>
      </c>
      <c r="G46" s="145">
        <v>782000</v>
      </c>
    </row>
    <row r="47" spans="1:7" s="49" customFormat="1" ht="14.45" customHeight="1" x14ac:dyDescent="0.25">
      <c r="A47" s="83" t="s">
        <v>208</v>
      </c>
      <c r="B47" s="142"/>
      <c r="C47" s="143" t="s">
        <v>131</v>
      </c>
      <c r="D47" s="145"/>
      <c r="E47" s="145"/>
      <c r="F47" s="145"/>
      <c r="G47" s="145"/>
    </row>
    <row r="48" spans="1:7" s="49" customFormat="1" ht="14.25" customHeight="1" x14ac:dyDescent="0.25">
      <c r="A48" s="88"/>
      <c r="B48" s="72"/>
      <c r="C48" s="55"/>
    </row>
    <row r="49" spans="1:8" s="72" customFormat="1" ht="14.25" customHeight="1" x14ac:dyDescent="0.25">
      <c r="A49" s="88"/>
      <c r="C49" s="55"/>
    </row>
    <row r="50" spans="1:8" s="72" customFormat="1" ht="14.25" customHeight="1" x14ac:dyDescent="0.25">
      <c r="A50" s="77"/>
      <c r="C50" s="55"/>
    </row>
    <row r="51" spans="1:8" s="47" customFormat="1" x14ac:dyDescent="0.25">
      <c r="A51" s="90"/>
      <c r="C51" s="105"/>
      <c r="G51" s="48"/>
      <c r="H51" s="48"/>
    </row>
    <row r="52" spans="1:8" x14ac:dyDescent="0.25">
      <c r="A52" s="89"/>
    </row>
    <row r="58" spans="1:8" s="45" customFormat="1" x14ac:dyDescent="0.25">
      <c r="A58" s="92"/>
      <c r="B58" s="47"/>
      <c r="C58" s="105"/>
      <c r="G58" s="48"/>
      <c r="H58" s="4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8"/>
  <sheetViews>
    <sheetView tabSelected="1" workbookViewId="0">
      <selection activeCell="C13" sqref="C13"/>
    </sheetView>
  </sheetViews>
  <sheetFormatPr defaultRowHeight="15" x14ac:dyDescent="0.25"/>
  <cols>
    <col min="2" max="2" width="11" bestFit="1" customWidth="1"/>
    <col min="3" max="3" width="112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</row>
    <row r="3" spans="1:7" x14ac:dyDescent="0.25">
      <c r="A3" t="s">
        <v>7</v>
      </c>
      <c r="B3" t="s">
        <v>9</v>
      </c>
    </row>
    <row r="4" spans="1:7" x14ac:dyDescent="0.25">
      <c r="A4" t="s">
        <v>10</v>
      </c>
      <c r="B4" t="s">
        <v>11</v>
      </c>
    </row>
    <row r="5" spans="1:7" x14ac:dyDescent="0.25">
      <c r="A5" t="s">
        <v>10</v>
      </c>
      <c r="B5" t="s">
        <v>12</v>
      </c>
    </row>
    <row r="6" spans="1:7" x14ac:dyDescent="0.25">
      <c r="A6" t="s">
        <v>13</v>
      </c>
      <c r="B6" t="s">
        <v>14</v>
      </c>
    </row>
    <row r="7" spans="1:7" x14ac:dyDescent="0.25">
      <c r="A7" t="s">
        <v>13</v>
      </c>
      <c r="B7" t="s">
        <v>15</v>
      </c>
    </row>
    <row r="8" spans="1:7" x14ac:dyDescent="0.25">
      <c r="A8" t="s">
        <v>16</v>
      </c>
      <c r="B8" t="s">
        <v>17</v>
      </c>
    </row>
    <row r="9" spans="1:7" x14ac:dyDescent="0.25">
      <c r="A9" t="s">
        <v>16</v>
      </c>
      <c r="B9" t="s">
        <v>18</v>
      </c>
    </row>
    <row r="10" spans="1:7" x14ac:dyDescent="0.25">
      <c r="A10" t="s">
        <v>16</v>
      </c>
      <c r="B10" t="s">
        <v>19</v>
      </c>
    </row>
    <row r="11" spans="1:7" x14ac:dyDescent="0.25">
      <c r="A11" t="s">
        <v>20</v>
      </c>
      <c r="B11" t="s">
        <v>21</v>
      </c>
    </row>
    <row r="12" spans="1:7" x14ac:dyDescent="0.25">
      <c r="A12" t="s">
        <v>20</v>
      </c>
      <c r="B12" t="s">
        <v>22</v>
      </c>
    </row>
    <row r="13" spans="1:7" x14ac:dyDescent="0.25">
      <c r="A13" t="s">
        <v>23</v>
      </c>
      <c r="B13" t="s">
        <v>24</v>
      </c>
    </row>
    <row r="14" spans="1:7" x14ac:dyDescent="0.25">
      <c r="A14" t="s">
        <v>23</v>
      </c>
      <c r="B14" t="s">
        <v>25</v>
      </c>
    </row>
    <row r="15" spans="1:7" x14ac:dyDescent="0.25">
      <c r="A15" t="s">
        <v>26</v>
      </c>
      <c r="B15" t="s">
        <v>27</v>
      </c>
    </row>
    <row r="16" spans="1:7" x14ac:dyDescent="0.25">
      <c r="A16" t="s">
        <v>26</v>
      </c>
      <c r="B16" t="s">
        <v>28</v>
      </c>
    </row>
    <row r="17" spans="1:2" x14ac:dyDescent="0.25">
      <c r="A17" t="s">
        <v>26</v>
      </c>
      <c r="B17" t="s">
        <v>29</v>
      </c>
    </row>
    <row r="18" spans="1:2" x14ac:dyDescent="0.25">
      <c r="A18" t="s">
        <v>30</v>
      </c>
      <c r="B18" t="s">
        <v>31</v>
      </c>
    </row>
    <row r="19" spans="1:2" x14ac:dyDescent="0.25">
      <c r="A19" t="s">
        <v>30</v>
      </c>
      <c r="B19" t="s">
        <v>32</v>
      </c>
    </row>
    <row r="20" spans="1:2" x14ac:dyDescent="0.25">
      <c r="A20" t="s">
        <v>33</v>
      </c>
      <c r="B20" t="s">
        <v>34</v>
      </c>
    </row>
    <row r="21" spans="1:2" x14ac:dyDescent="0.25">
      <c r="A21" t="s">
        <v>33</v>
      </c>
      <c r="B21" t="s">
        <v>35</v>
      </c>
    </row>
    <row r="22" spans="1:2" x14ac:dyDescent="0.25">
      <c r="A22" t="s">
        <v>36</v>
      </c>
      <c r="B22" t="s">
        <v>37</v>
      </c>
    </row>
    <row r="23" spans="1:2" x14ac:dyDescent="0.25">
      <c r="A23" t="s">
        <v>36</v>
      </c>
      <c r="B23" t="s">
        <v>38</v>
      </c>
    </row>
    <row r="24" spans="1:2" x14ac:dyDescent="0.25">
      <c r="A24" t="s">
        <v>39</v>
      </c>
      <c r="B24" t="s">
        <v>40</v>
      </c>
    </row>
    <row r="25" spans="1:2" x14ac:dyDescent="0.25">
      <c r="A25" t="s">
        <v>39</v>
      </c>
      <c r="B25" t="s">
        <v>41</v>
      </c>
    </row>
    <row r="26" spans="1:2" x14ac:dyDescent="0.25">
      <c r="A26" t="s">
        <v>39</v>
      </c>
      <c r="B26" t="s">
        <v>42</v>
      </c>
    </row>
    <row r="27" spans="1:2" x14ac:dyDescent="0.25">
      <c r="A27" t="s">
        <v>43</v>
      </c>
      <c r="B27" t="s">
        <v>44</v>
      </c>
    </row>
    <row r="28" spans="1:2" x14ac:dyDescent="0.25">
      <c r="A28" t="s">
        <v>43</v>
      </c>
      <c r="B28" t="s">
        <v>45</v>
      </c>
    </row>
    <row r="29" spans="1:2" x14ac:dyDescent="0.25">
      <c r="A29" t="s">
        <v>46</v>
      </c>
      <c r="B29" t="s">
        <v>47</v>
      </c>
    </row>
    <row r="30" spans="1:2" x14ac:dyDescent="0.25">
      <c r="A30" t="s">
        <v>46</v>
      </c>
      <c r="B30" t="s">
        <v>48</v>
      </c>
    </row>
    <row r="31" spans="1:2" x14ac:dyDescent="0.25">
      <c r="A31" t="s">
        <v>46</v>
      </c>
      <c r="B31" t="s">
        <v>49</v>
      </c>
    </row>
    <row r="32" spans="1:2" x14ac:dyDescent="0.25">
      <c r="A32" t="s">
        <v>50</v>
      </c>
      <c r="B32" t="s">
        <v>51</v>
      </c>
    </row>
    <row r="33" spans="1:2" x14ac:dyDescent="0.25">
      <c r="A33" t="s">
        <v>50</v>
      </c>
      <c r="B33" t="s">
        <v>52</v>
      </c>
    </row>
    <row r="34" spans="1:2" x14ac:dyDescent="0.25">
      <c r="A34" t="s">
        <v>53</v>
      </c>
      <c r="B34" t="s">
        <v>54</v>
      </c>
    </row>
    <row r="35" spans="1:2" x14ac:dyDescent="0.25">
      <c r="A35" t="s">
        <v>53</v>
      </c>
      <c r="B35" t="s">
        <v>55</v>
      </c>
    </row>
    <row r="36" spans="1:2" x14ac:dyDescent="0.25">
      <c r="A36" t="s">
        <v>56</v>
      </c>
      <c r="B36" t="s">
        <v>57</v>
      </c>
    </row>
    <row r="37" spans="1:2" x14ac:dyDescent="0.25">
      <c r="A37" t="s">
        <v>56</v>
      </c>
      <c r="B37" t="s">
        <v>58</v>
      </c>
    </row>
    <row r="38" spans="1:2" x14ac:dyDescent="0.25">
      <c r="A38" t="s">
        <v>56</v>
      </c>
      <c r="B38" t="s">
        <v>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DATA_RAW</vt:lpstr>
      <vt:lpstr>DATA_PROC</vt:lpstr>
      <vt:lpstr>DATA_DONE (2)</vt:lpstr>
      <vt:lpstr>DATA_DONE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Như Loan/LIBRA VIỆT NAM</dc:creator>
  <cp:lastModifiedBy>Long Nguyễn</cp:lastModifiedBy>
  <dcterms:created xsi:type="dcterms:W3CDTF">2026-01-22T02:09:51Z</dcterms:created>
  <dcterms:modified xsi:type="dcterms:W3CDTF">2026-07-03T16:16:08Z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0x01010028D3EB968A514946AA0D612145FA8E98</vt:lpwstr>
  </property>
  <property fmtid="{D5CDD505-2E9C-101B-9397-08002B2CF9AE}" pid="3" name="MediaServiceImageTags">
    <vt:lpwstr/>
  </property>
</Properties>
</file>