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705" yWindow="165" windowWidth="17280" windowHeight="8880" tabRatio="600" firstSheet="0" activeTab="2" autoFilterDateGrouping="1"/>
  </bookViews>
  <sheets>
    <sheet name="TONG HOP" sheetId="1" state="visible" r:id="rId1"/>
    <sheet name="51L-268.40" sheetId="2" state="visible" r:id="rId2"/>
    <sheet name="51K-365.77" sheetId="3" state="visible" r:id="rId3"/>
  </sheets>
  <definedNames>
    <definedName name="_xlnm._FilterDatabase" localSheetId="1" hidden="1">'51L-268.40'!$A$8:$M$44</definedName>
    <definedName name="_xlnm._FilterDatabase" localSheetId="2" hidden="1">'51K-365.77'!$A$8:$M$46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_-* #,##0\ _₫_-;\-* #,##0\ _₫_-;_-* &quot;-&quot;??\ _₫_-;_-@_-"/>
    <numFmt numFmtId="166" formatCode="_-* #,##0.00\ _₫_-;\-* #,##0.00\ _₫_-;_-* &quot;-&quot;??\ _₫_-;_-@_-"/>
  </numFmts>
  <fonts count="4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rgb="FF171616"/>
      <sz val="12"/>
    </font>
    <font>
      <name val="Times New Roman"/>
      <family val="1"/>
      <color theme="1"/>
      <sz val="12"/>
    </font>
    <font>
      <name val="Times New Roman"/>
      <family val="1"/>
      <b val="1"/>
      <color rgb="FF171616"/>
      <sz val="12"/>
    </font>
    <font>
      <name val="Calibri"/>
      <family val="2"/>
      <color theme="1"/>
      <sz val="12"/>
      <scheme val="minor"/>
    </font>
    <font>
      <name val="Times New Roman"/>
      <family val="1"/>
      <b val="1"/>
      <color theme="1"/>
      <sz val="12"/>
    </font>
    <font>
      <name val="Calibri"/>
      <family val="2"/>
      <color theme="0" tint="-0.249977111117893"/>
      <sz val="12"/>
      <scheme val="minor"/>
    </font>
    <font>
      <name val="Times New Roman"/>
      <family val="1"/>
      <color theme="0" tint="-0.249977111117893"/>
      <sz val="12"/>
    </font>
    <font>
      <name val="Calibri"/>
      <family val="2"/>
      <color theme="0" tint="-0.499984740745262"/>
      <sz val="12"/>
      <scheme val="minor"/>
    </font>
    <font>
      <name val="Times New Roman"/>
      <family val="1"/>
      <sz val="12"/>
    </font>
    <font>
      <name val="Times New Roman"/>
      <family val="1"/>
      <b val="1"/>
      <i val="1"/>
      <color rgb="FF171616"/>
      <sz val="12"/>
    </font>
    <font>
      <name val="Times New Roman"/>
      <family val="1"/>
      <b val="1"/>
      <color rgb="FFFF0000"/>
      <sz val="12"/>
    </font>
    <font>
      <name val="Times New Roman"/>
      <family val="1"/>
      <color rgb="FFFF0000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i val="1"/>
      <color rgb="FFFF0000"/>
      <sz val="12"/>
    </font>
    <font>
      <name val="Times New Roman"/>
      <charset val="163"/>
      <family val="1"/>
      <b val="1"/>
      <color rgb="FFFF0000"/>
      <sz val="12"/>
    </font>
    <font>
      <name val="Calibri"/>
      <charset val="163"/>
      <family val="2"/>
      <b val="1"/>
      <color rgb="FFFF0000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color rgb="FF171616"/>
      <sz val="11"/>
    </font>
    <font>
      <name val="Times New Roman"/>
      <family val="1"/>
      <b val="1"/>
      <color theme="1"/>
      <sz val="11"/>
    </font>
    <font>
      <name val="Times New Roman"/>
      <family val="1"/>
      <color theme="1"/>
      <sz val="10"/>
    </font>
    <font>
      <name val="Times New Roman"/>
      <family val="1"/>
      <color rgb="FF171616"/>
      <sz val="8"/>
    </font>
    <font>
      <name val="Times New Roman"/>
      <family val="1"/>
      <color theme="1"/>
      <sz val="8"/>
    </font>
    <font>
      <name val="Times New Roman"/>
      <family val="1"/>
      <b val="1"/>
      <color rgb="FF171616"/>
      <sz val="8"/>
    </font>
    <font>
      <name val="Times New Roman"/>
      <family val="1"/>
      <b val="1"/>
      <color theme="1"/>
      <sz val="8"/>
    </font>
    <font>
      <name val="Calibri"/>
      <family val="2"/>
      <color theme="1"/>
      <sz val="8"/>
      <scheme val="minor"/>
    </font>
    <font>
      <name val="Calibri"/>
      <family val="2"/>
      <b val="1"/>
      <color theme="0" tint="-0.249977111117893"/>
      <sz val="8"/>
      <scheme val="minor"/>
    </font>
    <font>
      <name val="Calibri"/>
      <family val="2"/>
      <color theme="0" tint="-0.249977111117893"/>
      <sz val="8"/>
      <scheme val="minor"/>
    </font>
    <font>
      <name val="Calibri"/>
      <family val="2"/>
      <color theme="1"/>
      <sz val="10"/>
      <scheme val="minor"/>
    </font>
    <font>
      <name val="Times New Roman"/>
      <charset val="163"/>
      <family val="1"/>
      <b val="1"/>
      <color rgb="FFFF0000"/>
      <sz val="10"/>
    </font>
    <font>
      <name val="Times New Roman"/>
      <family val="1"/>
      <b val="1"/>
      <color theme="1"/>
      <sz val="10"/>
    </font>
    <font>
      <name val="Times New Roman"/>
      <family val="1"/>
      <sz val="10"/>
    </font>
    <font>
      <name val="Times New Roman"/>
      <family val="1"/>
      <b val="1"/>
      <color rgb="FF171616"/>
      <sz val="10"/>
    </font>
    <font>
      <name val="Calibri"/>
      <family val="2"/>
      <b val="1"/>
      <color theme="0" tint="-0.249977111117893"/>
      <sz val="10"/>
      <scheme val="minor"/>
    </font>
    <font>
      <name val="Calibri"/>
      <family val="2"/>
      <color theme="0" tint="-0.249977111117893"/>
      <sz val="10"/>
      <scheme val="minor"/>
    </font>
    <font>
      <name val="Times New Roman"/>
      <family val="1"/>
      <b val="1"/>
      <color rgb="FFFF0000"/>
      <sz val="10"/>
    </font>
    <font>
      <name val="Times New Roman"/>
      <family val="1"/>
      <b val="1"/>
      <color rgb="FFFF0000"/>
      <sz val="8"/>
    </font>
    <font>
      <name val="Times New Roman"/>
      <family val="1"/>
      <b val="1"/>
      <color rgb="FF171616"/>
      <sz val="14"/>
    </font>
    <font>
      <name val="Times New Roman"/>
      <family val="1"/>
      <color theme="1"/>
      <sz val="14"/>
    </font>
    <font>
      <name val="Times New Roman"/>
      <charset val="163"/>
      <family val="1"/>
      <sz val="10"/>
    </font>
    <font>
      <name val="Calibri"/>
      <charset val="163"/>
      <family val="2"/>
      <sz val="12"/>
      <scheme val="minor"/>
    </font>
    <font>
      <name val="Times New Roman"/>
      <charset val="163"/>
      <family val="1"/>
      <sz val="12"/>
    </font>
    <font>
      <name val="Times New Roman"/>
      <family val="1"/>
      <sz val="8"/>
    </font>
    <font>
      <name val="Times New Roman"/>
      <charset val="163"/>
      <family val="1"/>
      <b val="1"/>
      <color rgb="FFFF0000"/>
      <sz val="8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"/>
        <bgColor rgb="FFFFFF00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E598"/>
        <bgColor rgb="FFFFE59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rgb="FFFFD965"/>
        <bgColor rgb="FFFFD965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6" fontId="1" fillId="0" borderId="0"/>
  </cellStyleXfs>
  <cellXfs count="206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1">
      <alignment vertical="center"/>
    </xf>
    <xf numFmtId="164" fontId="3" fillId="0" borderId="0" applyAlignment="1" pivotButton="0" quotePrefix="0" xfId="1">
      <alignment vertical="center"/>
    </xf>
    <xf numFmtId="0" fontId="5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1">
      <alignment horizontal="center" vertical="center"/>
    </xf>
    <xf numFmtId="0" fontId="4" fillId="0" borderId="2" applyAlignment="1" pivotButton="0" quotePrefix="0" xfId="0">
      <alignment vertical="center"/>
    </xf>
    <xf numFmtId="0" fontId="6" fillId="0" borderId="2" pivotButton="0" quotePrefix="0" xfId="0"/>
    <xf numFmtId="0" fontId="3" fillId="0" borderId="2" pivotButton="0" quotePrefix="0" xfId="0"/>
    <xf numFmtId="164" fontId="3" fillId="0" borderId="2" pivotButton="0" quotePrefix="0" xfId="1"/>
    <xf numFmtId="20" fontId="8" fillId="0" borderId="0" applyAlignment="1" pivotButton="0" quotePrefix="0" xfId="0">
      <alignment horizontal="center" vertical="center"/>
    </xf>
    <xf numFmtId="165" fontId="9" fillId="0" borderId="0" applyAlignment="1" pivotButton="0" quotePrefix="0" xfId="1">
      <alignment horizontal="center" vertical="center"/>
    </xf>
    <xf numFmtId="165" fontId="7" fillId="0" borderId="0" applyAlignment="1" pivotButton="0" quotePrefix="0" xfId="1">
      <alignment vertical="center"/>
    </xf>
    <xf numFmtId="164" fontId="6" fillId="4" borderId="5" applyAlignment="1" pivotButton="0" quotePrefix="0" xfId="1">
      <alignment horizontal="right" vertical="center" wrapText="1"/>
    </xf>
    <xf numFmtId="0" fontId="4" fillId="6" borderId="5" applyAlignment="1" pivotButton="0" quotePrefix="0" xfId="0">
      <alignment horizontal="center" vertical="center" wrapText="1"/>
    </xf>
    <xf numFmtId="164" fontId="2" fillId="6" borderId="5" applyAlignment="1" pivotButton="0" quotePrefix="0" xfId="1">
      <alignment vertical="center" wrapText="1"/>
    </xf>
    <xf numFmtId="164" fontId="3" fillId="0" borderId="5" applyAlignment="1" pivotButton="0" quotePrefix="0" xfId="1">
      <alignment vertical="center"/>
    </xf>
    <xf numFmtId="164" fontId="6" fillId="0" borderId="5" applyAlignment="1" pivotButton="0" quotePrefix="0" xfId="1">
      <alignment vertical="center"/>
    </xf>
    <xf numFmtId="164" fontId="13" fillId="6" borderId="5" applyAlignment="1" pivotButton="0" quotePrefix="0" xfId="1">
      <alignment vertical="center" wrapText="1"/>
    </xf>
    <xf numFmtId="164" fontId="13" fillId="0" borderId="5" applyAlignment="1" pivotButton="0" quotePrefix="0" xfId="1">
      <alignment vertical="center"/>
    </xf>
    <xf numFmtId="164" fontId="3" fillId="0" borderId="5" applyAlignment="1" pivotButton="0" quotePrefix="0" xfId="1">
      <alignment vertical="center" wrapText="1"/>
    </xf>
    <xf numFmtId="164" fontId="6" fillId="0" borderId="5" applyAlignment="1" pivotButton="0" quotePrefix="0" xfId="1">
      <alignment vertical="center"/>
    </xf>
    <xf numFmtId="164" fontId="6" fillId="0" borderId="5" applyAlignment="1" pivotButton="0" quotePrefix="0" xfId="1">
      <alignment vertical="center" wrapText="1"/>
    </xf>
    <xf numFmtId="164" fontId="6" fillId="8" borderId="9" applyAlignment="1" pivotButton="0" quotePrefix="0" xfId="1">
      <alignment vertical="center"/>
    </xf>
    <xf numFmtId="0" fontId="15" fillId="0" borderId="5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4" fontId="3" fillId="0" borderId="0" applyAlignment="1" pivotButton="0" quotePrefix="0" xfId="0">
      <alignment vertical="center"/>
    </xf>
    <xf numFmtId="164" fontId="6" fillId="0" borderId="0" applyAlignment="1" pivotButton="0" quotePrefix="0" xfId="1">
      <alignment vertical="center"/>
    </xf>
    <xf numFmtId="0" fontId="6" fillId="0" borderId="0" applyAlignment="1" pivotButton="0" quotePrefix="0" xfId="0">
      <alignment vertical="center"/>
    </xf>
    <xf numFmtId="164" fontId="5" fillId="0" borderId="0" pivotButton="0" quotePrefix="0" xfId="1"/>
    <xf numFmtId="14" fontId="5" fillId="0" borderId="0" pivotButton="0" quotePrefix="0" xfId="0"/>
    <xf numFmtId="164" fontId="5" fillId="0" borderId="0" pivotButton="0" quotePrefix="0" xfId="1"/>
    <xf numFmtId="0" fontId="17" fillId="0" borderId="0" pivotButton="0" quotePrefix="0" xfId="0"/>
    <xf numFmtId="20" fontId="16" fillId="0" borderId="0" applyAlignment="1" pivotButton="0" quotePrefix="0" xfId="0">
      <alignment horizontal="center" vertical="center"/>
    </xf>
    <xf numFmtId="165" fontId="17" fillId="0" borderId="0" applyAlignment="1" pivotButton="0" quotePrefix="0" xfId="1">
      <alignment horizontal="center" vertical="center"/>
    </xf>
    <xf numFmtId="165" fontId="17" fillId="0" borderId="0" applyAlignment="1" pivotButton="0" quotePrefix="0" xfId="1">
      <alignment vertical="center"/>
    </xf>
    <xf numFmtId="0" fontId="18" fillId="0" borderId="0" applyAlignment="1" pivotButton="0" quotePrefix="0" xfId="0">
      <alignment vertical="center"/>
    </xf>
    <xf numFmtId="14" fontId="19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centerContinuous" vertical="center"/>
    </xf>
    <xf numFmtId="0" fontId="20" fillId="9" borderId="5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18" fillId="0" borderId="5" applyAlignment="1" pivotButton="0" quotePrefix="0" xfId="0">
      <alignment horizontal="center" vertical="center"/>
    </xf>
    <xf numFmtId="0" fontId="18" fillId="0" borderId="5" applyAlignment="1" pivotButton="0" quotePrefix="0" xfId="0">
      <alignment vertical="center"/>
    </xf>
    <xf numFmtId="165" fontId="18" fillId="0" borderId="5" applyAlignment="1" pivotButton="0" quotePrefix="0" xfId="1">
      <alignment vertical="center"/>
    </xf>
    <xf numFmtId="0" fontId="20" fillId="0" borderId="5" applyAlignment="1" pivotButton="0" quotePrefix="0" xfId="0">
      <alignment vertical="center"/>
    </xf>
    <xf numFmtId="165" fontId="20" fillId="0" borderId="5" applyAlignment="1" pivotButton="0" quotePrefix="0" xfId="1">
      <alignment vertical="center"/>
    </xf>
    <xf numFmtId="164" fontId="24" fillId="2" borderId="1" applyAlignment="1" pivotButton="0" quotePrefix="0" xfId="1">
      <alignment vertical="center" wrapText="1"/>
    </xf>
    <xf numFmtId="164" fontId="24" fillId="2" borderId="1" applyAlignment="1" pivotButton="0" quotePrefix="0" xfId="1">
      <alignment horizontal="center" vertical="center"/>
    </xf>
    <xf numFmtId="164" fontId="24" fillId="2" borderId="1" applyAlignment="1" pivotButton="0" quotePrefix="0" xfId="1">
      <alignment horizontal="right" vertical="center"/>
    </xf>
    <xf numFmtId="164" fontId="25" fillId="2" borderId="1" applyAlignment="1" pivotButton="0" quotePrefix="0" xfId="1">
      <alignment vertical="center"/>
    </xf>
    <xf numFmtId="0" fontId="25" fillId="3" borderId="3" applyAlignment="1" pivotButton="0" quotePrefix="0" xfId="0">
      <alignment horizontal="center" vertical="center" wrapText="1"/>
    </xf>
    <xf numFmtId="14" fontId="25" fillId="3" borderId="3" applyAlignment="1" pivotButton="0" quotePrefix="0" xfId="0">
      <alignment horizontal="center" vertical="center" wrapText="1"/>
    </xf>
    <xf numFmtId="164" fontId="25" fillId="3" borderId="3" applyAlignment="1" pivotButton="0" quotePrefix="0" xfId="1">
      <alignment horizontal="center" vertical="center" wrapText="1"/>
    </xf>
    <xf numFmtId="164" fontId="25" fillId="3" borderId="4" applyAlignment="1" pivotButton="0" quotePrefix="0" xfId="1">
      <alignment horizontal="center" vertical="center" wrapText="1"/>
    </xf>
    <xf numFmtId="0" fontId="26" fillId="0" borderId="0" pivotButton="0" quotePrefix="0" xfId="0"/>
    <xf numFmtId="20" fontId="27" fillId="0" borderId="0" applyAlignment="1" pivotButton="0" quotePrefix="0" xfId="0">
      <alignment horizontal="center" vertical="center"/>
    </xf>
    <xf numFmtId="0" fontId="28" fillId="0" borderId="0" pivotButton="0" quotePrefix="0" xfId="0"/>
    <xf numFmtId="0" fontId="27" fillId="0" borderId="0" applyAlignment="1" pivotButton="0" quotePrefix="0" xfId="0">
      <alignment horizontal="center" vertical="center"/>
    </xf>
    <xf numFmtId="0" fontId="21" fillId="0" borderId="5" applyAlignment="1" pivotButton="0" quotePrefix="0" xfId="0">
      <alignment horizontal="center" vertical="center" wrapText="1"/>
    </xf>
    <xf numFmtId="49" fontId="21" fillId="0" borderId="5" applyAlignment="1" pivotButton="0" quotePrefix="0" xfId="0">
      <alignment horizontal="center" vertical="center" wrapText="1"/>
    </xf>
    <xf numFmtId="14" fontId="21" fillId="0" borderId="5" applyAlignment="1" pivotButton="0" quotePrefix="0" xfId="0">
      <alignment horizontal="center" vertical="center" wrapText="1"/>
    </xf>
    <xf numFmtId="20" fontId="21" fillId="0" borderId="6" applyAlignment="1" pivotButton="0" quotePrefix="0" xfId="0">
      <alignment horizontal="right" vertical="center"/>
    </xf>
    <xf numFmtId="164" fontId="21" fillId="2" borderId="5" applyAlignment="1" pivotButton="0" quotePrefix="0" xfId="1">
      <alignment horizontal="right" vertical="center" wrapText="1"/>
    </xf>
    <xf numFmtId="164" fontId="21" fillId="0" borderId="5" applyAlignment="1" pivotButton="0" quotePrefix="0" xfId="1">
      <alignment horizontal="right" vertical="center" wrapText="1"/>
    </xf>
    <xf numFmtId="164" fontId="21" fillId="0" borderId="5" applyAlignment="1" pivotButton="0" quotePrefix="0" xfId="1">
      <alignment horizontal="right" vertical="center" wrapText="1"/>
    </xf>
    <xf numFmtId="0" fontId="29" fillId="0" borderId="0" pivotButton="0" quotePrefix="0" xfId="0"/>
    <xf numFmtId="0" fontId="30" fillId="0" borderId="5" applyAlignment="1" pivotButton="0" quotePrefix="0" xfId="0">
      <alignment horizontal="center" vertical="center" wrapText="1"/>
    </xf>
    <xf numFmtId="49" fontId="30" fillId="0" borderId="5" applyAlignment="1" pivotButton="0" quotePrefix="0" xfId="0">
      <alignment horizontal="center" vertical="center" wrapText="1"/>
    </xf>
    <xf numFmtId="20" fontId="30" fillId="0" borderId="6" applyAlignment="1" pivotButton="0" quotePrefix="0" xfId="0">
      <alignment horizontal="right" vertical="center"/>
    </xf>
    <xf numFmtId="164" fontId="30" fillId="0" borderId="5" applyAlignment="1" pivotButton="0" quotePrefix="0" xfId="1">
      <alignment horizontal="right" vertical="center" wrapText="1"/>
    </xf>
    <xf numFmtId="0" fontId="21" fillId="0" borderId="6" applyAlignment="1" pivotButton="0" quotePrefix="0" xfId="0">
      <alignment horizontal="center" vertical="center" wrapText="1"/>
    </xf>
    <xf numFmtId="49" fontId="21" fillId="0" borderId="6" applyAlignment="1" pivotButton="0" quotePrefix="0" xfId="0">
      <alignment horizontal="center" vertical="center" wrapText="1"/>
    </xf>
    <xf numFmtId="14" fontId="21" fillId="0" borderId="6" applyAlignment="1" pivotButton="0" quotePrefix="0" xfId="0">
      <alignment horizontal="center" vertical="center" wrapText="1"/>
    </xf>
    <xf numFmtId="164" fontId="21" fillId="0" borderId="6" applyAlignment="1" pivotButton="0" quotePrefix="0" xfId="1">
      <alignment horizontal="right" vertical="center" wrapText="1"/>
    </xf>
    <xf numFmtId="164" fontId="21" fillId="0" borderId="6" applyAlignment="1" pivotButton="0" quotePrefix="0" xfId="1">
      <alignment horizontal="right" vertical="center" wrapText="1"/>
    </xf>
    <xf numFmtId="0" fontId="3" fillId="4" borderId="5" applyAlignment="1" pivotButton="0" quotePrefix="0" xfId="0">
      <alignment horizontal="center" vertical="center" wrapText="1"/>
    </xf>
    <xf numFmtId="49" fontId="3" fillId="4" borderId="5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20" fontId="3" fillId="4" borderId="5" applyAlignment="1" pivotButton="0" quotePrefix="0" xfId="0">
      <alignment horizontal="right" vertical="center" wrapText="1"/>
    </xf>
    <xf numFmtId="0" fontId="31" fillId="5" borderId="13" applyAlignment="1" pivotButton="0" quotePrefix="0" xfId="0">
      <alignment vertical="center"/>
    </xf>
    <xf numFmtId="0" fontId="31" fillId="5" borderId="0" applyAlignment="1" pivotButton="0" quotePrefix="0" xfId="0">
      <alignment vertical="center"/>
    </xf>
    <xf numFmtId="164" fontId="31" fillId="5" borderId="14" applyAlignment="1" pivotButton="0" quotePrefix="0" xfId="1">
      <alignment horizontal="center" vertical="center" wrapText="1"/>
    </xf>
    <xf numFmtId="164" fontId="31" fillId="5" borderId="9" applyAlignment="1" pivotButton="0" quotePrefix="0" xfId="1">
      <alignment horizontal="center" vertical="center" wrapText="1"/>
    </xf>
    <xf numFmtId="164" fontId="31" fillId="5" borderId="9" applyAlignment="1" pivotButton="0" quotePrefix="0" xfId="1">
      <alignment vertical="center" wrapText="1"/>
    </xf>
    <xf numFmtId="164" fontId="33" fillId="2" borderId="1" applyAlignment="1" pivotButton="0" quotePrefix="0" xfId="1">
      <alignment vertical="center" wrapText="1"/>
    </xf>
    <xf numFmtId="164" fontId="33" fillId="2" borderId="1" applyAlignment="1" pivotButton="0" quotePrefix="0" xfId="1">
      <alignment horizontal="center" vertical="center"/>
    </xf>
    <xf numFmtId="164" fontId="33" fillId="2" borderId="1" applyAlignment="1" pivotButton="0" quotePrefix="0" xfId="1">
      <alignment horizontal="right" vertical="center"/>
    </xf>
    <xf numFmtId="164" fontId="31" fillId="2" borderId="1" applyAlignment="1" pivotButton="0" quotePrefix="0" xfId="1">
      <alignment vertical="center"/>
    </xf>
    <xf numFmtId="0" fontId="31" fillId="3" borderId="3" applyAlignment="1" pivotButton="0" quotePrefix="0" xfId="0">
      <alignment horizontal="center" vertical="center" wrapText="1"/>
    </xf>
    <xf numFmtId="14" fontId="31" fillId="3" borderId="3" applyAlignment="1" pivotButton="0" quotePrefix="0" xfId="0">
      <alignment horizontal="center" vertical="center" wrapText="1"/>
    </xf>
    <xf numFmtId="164" fontId="31" fillId="3" borderId="3" applyAlignment="1" pivotButton="0" quotePrefix="0" xfId="1">
      <alignment horizontal="center" vertical="center" wrapText="1"/>
    </xf>
    <xf numFmtId="164" fontId="31" fillId="3" borderId="4" applyAlignment="1" pivotButton="0" quotePrefix="0" xfId="1">
      <alignment horizontal="center" vertical="center" wrapText="1"/>
    </xf>
    <xf numFmtId="20" fontId="34" fillId="0" borderId="0" applyAlignment="1" pivotButton="0" quotePrefix="0" xfId="0">
      <alignment horizontal="center" vertical="center"/>
    </xf>
    <xf numFmtId="0" fontId="35" fillId="0" borderId="0" pivotButton="0" quotePrefix="0" xfId="0"/>
    <xf numFmtId="0" fontId="34" fillId="0" borderId="0" applyAlignment="1" pivotButton="0" quotePrefix="0" xfId="0">
      <alignment horizontal="center" vertical="center"/>
    </xf>
    <xf numFmtId="0" fontId="36" fillId="0" borderId="5" applyAlignment="1" pivotButton="0" quotePrefix="0" xfId="0">
      <alignment horizontal="center" vertical="center" wrapText="1"/>
    </xf>
    <xf numFmtId="49" fontId="36" fillId="0" borderId="5" applyAlignment="1" pivotButton="0" quotePrefix="0" xfId="0">
      <alignment horizontal="center" vertical="center" wrapText="1"/>
    </xf>
    <xf numFmtId="20" fontId="36" fillId="0" borderId="6" applyAlignment="1" pivotButton="0" quotePrefix="0" xfId="0">
      <alignment horizontal="right" vertical="center"/>
    </xf>
    <xf numFmtId="164" fontId="36" fillId="0" borderId="5" applyAlignment="1" pivotButton="0" quotePrefix="0" xfId="1">
      <alignment horizontal="right" vertical="center" wrapText="1"/>
    </xf>
    <xf numFmtId="14" fontId="37" fillId="0" borderId="5" applyAlignment="1" pivotButton="0" quotePrefix="0" xfId="0">
      <alignment horizontal="center" vertical="center" wrapText="1"/>
    </xf>
    <xf numFmtId="0" fontId="38" fillId="0" borderId="0" applyAlignment="1" pivotButton="0" quotePrefix="0" xfId="0">
      <alignment horizontal="centerContinuous" vertical="center"/>
    </xf>
    <xf numFmtId="0" fontId="39" fillId="0" borderId="0" applyAlignment="1" pivotButton="0" quotePrefix="0" xfId="0">
      <alignment horizontal="centerContinuous" vertical="center"/>
    </xf>
    <xf numFmtId="14" fontId="2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10" fillId="0" borderId="5" pivotButton="0" quotePrefix="0" xfId="0"/>
    <xf numFmtId="14" fontId="22" fillId="0" borderId="0" applyAlignment="1" pivotButton="0" quotePrefix="0" xfId="0">
      <alignment horizontal="left" vertical="center" wrapText="1"/>
    </xf>
    <xf numFmtId="0" fontId="2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2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12" fillId="6" borderId="10" applyAlignment="1" pivotButton="0" quotePrefix="0" xfId="0">
      <alignment horizontal="center" vertical="center" wrapText="1"/>
    </xf>
    <xf numFmtId="0" fontId="12" fillId="6" borderId="11" applyAlignment="1" pivotButton="0" quotePrefix="0" xfId="0">
      <alignment horizontal="center" vertical="center" wrapText="1"/>
    </xf>
    <xf numFmtId="0" fontId="12" fillId="6" borderId="12" applyAlignment="1" pivotButton="0" quotePrefix="0" xfId="0">
      <alignment horizontal="center" vertical="center" wrapText="1"/>
    </xf>
    <xf numFmtId="0" fontId="31" fillId="5" borderId="9" applyAlignment="1" pivotButton="0" quotePrefix="0" xfId="0">
      <alignment horizontal="center" vertical="center"/>
    </xf>
    <xf numFmtId="0" fontId="32" fillId="0" borderId="0" pivotButton="0" quotePrefix="0" xfId="0"/>
    <xf numFmtId="0" fontId="32" fillId="0" borderId="8" pivotButton="0" quotePrefix="0" xfId="0"/>
    <xf numFmtId="0" fontId="4" fillId="7" borderId="5" applyAlignment="1" pivotButton="0" quotePrefix="0" xfId="0">
      <alignment horizontal="center" vertical="center" wrapText="1"/>
    </xf>
    <xf numFmtId="0" fontId="10" fillId="2" borderId="5" pivotButton="0" quotePrefix="0" xfId="0"/>
    <xf numFmtId="0" fontId="12" fillId="6" borderId="5" applyAlignment="1" pivotButton="0" quotePrefix="0" xfId="0">
      <alignment horizontal="center" vertical="center" wrapText="1"/>
    </xf>
    <xf numFmtId="164" fontId="5" fillId="0" borderId="0" applyAlignment="1" pivotButton="0" quotePrefix="0" xfId="1">
      <alignment horizontal="center"/>
    </xf>
    <xf numFmtId="0" fontId="6" fillId="0" borderId="5" applyAlignment="1" pivotButton="0" quotePrefix="0" xfId="0">
      <alignment horizontal="center" vertical="center"/>
    </xf>
    <xf numFmtId="0" fontId="6" fillId="8" borderId="7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10" fillId="0" borderId="0" pivotButton="0" quotePrefix="0" xfId="0"/>
    <xf numFmtId="0" fontId="10" fillId="0" borderId="8" pivotButton="0" quotePrefix="0" xfId="0"/>
    <xf numFmtId="0" fontId="15" fillId="0" borderId="10" applyAlignment="1" pivotButton="0" quotePrefix="0" xfId="0">
      <alignment horizontal="center" vertical="center"/>
    </xf>
    <xf numFmtId="0" fontId="15" fillId="0" borderId="11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164" fontId="6" fillId="0" borderId="0" applyAlignment="1" pivotButton="0" quotePrefix="0" xfId="1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40" fillId="0" borderId="5" applyAlignment="1" pivotButton="0" quotePrefix="0" xfId="0">
      <alignment horizontal="center" vertical="center" wrapText="1"/>
    </xf>
    <xf numFmtId="49" fontId="40" fillId="0" borderId="5" applyAlignment="1" pivotButton="0" quotePrefix="0" xfId="0">
      <alignment horizontal="center" vertical="center" wrapText="1"/>
    </xf>
    <xf numFmtId="14" fontId="40" fillId="0" borderId="5" applyAlignment="1" pivotButton="0" quotePrefix="0" xfId="0">
      <alignment horizontal="center" vertical="center" wrapText="1"/>
    </xf>
    <xf numFmtId="20" fontId="40" fillId="0" borderId="6" applyAlignment="1" pivotButton="0" quotePrefix="0" xfId="0">
      <alignment horizontal="right" vertical="center"/>
    </xf>
    <xf numFmtId="164" fontId="40" fillId="0" borderId="5" applyAlignment="1" pivotButton="0" quotePrefix="0" xfId="1">
      <alignment horizontal="right" vertical="center" wrapText="1"/>
    </xf>
    <xf numFmtId="164" fontId="40" fillId="0" borderId="5" applyAlignment="1" pivotButton="0" quotePrefix="0" xfId="1">
      <alignment horizontal="right" vertical="center" wrapText="1"/>
    </xf>
    <xf numFmtId="0" fontId="41" fillId="0" borderId="0" pivotButton="0" quotePrefix="0" xfId="0"/>
    <xf numFmtId="20" fontId="42" fillId="0" borderId="0" applyAlignment="1" pivotButton="0" quotePrefix="0" xfId="0">
      <alignment horizontal="center" vertical="center"/>
    </xf>
    <xf numFmtId="165" fontId="41" fillId="0" borderId="0" applyAlignment="1" pivotButton="0" quotePrefix="0" xfId="1">
      <alignment horizontal="center" vertical="center"/>
    </xf>
    <xf numFmtId="165" fontId="41" fillId="0" borderId="0" applyAlignment="1" pivotButton="0" quotePrefix="0" xfId="1">
      <alignment vertical="center"/>
    </xf>
    <xf numFmtId="14" fontId="23" fillId="0" borderId="5" applyAlignment="1" pivotButton="0" quotePrefix="0" xfId="0">
      <alignment horizontal="center" vertical="center" wrapText="1"/>
    </xf>
    <xf numFmtId="14" fontId="23" fillId="0" borderId="6" applyAlignment="1" pivotButton="0" quotePrefix="0" xfId="0">
      <alignment horizontal="center" vertical="center" wrapText="1"/>
    </xf>
    <xf numFmtId="14" fontId="43" fillId="0" borderId="5" applyAlignment="1" pivotButton="0" quotePrefix="0" xfId="0">
      <alignment horizontal="center" vertical="center" wrapText="1"/>
    </xf>
    <xf numFmtId="0" fontId="32" fillId="0" borderId="5" applyAlignment="1" pivotButton="0" quotePrefix="0" xfId="0">
      <alignment horizontal="center" vertical="center" wrapText="1"/>
    </xf>
    <xf numFmtId="49" fontId="32" fillId="0" borderId="5" applyAlignment="1" pivotButton="0" quotePrefix="0" xfId="0">
      <alignment horizontal="center" vertical="center" wrapText="1"/>
    </xf>
    <xf numFmtId="20" fontId="32" fillId="0" borderId="6" applyAlignment="1" pivotButton="0" quotePrefix="0" xfId="0">
      <alignment horizontal="right" vertical="center"/>
    </xf>
    <xf numFmtId="164" fontId="32" fillId="0" borderId="5" applyAlignment="1" pivotButton="0" quotePrefix="0" xfId="1">
      <alignment horizontal="right" vertical="center" wrapText="1"/>
    </xf>
    <xf numFmtId="14" fontId="44" fillId="0" borderId="5" applyAlignment="1" pivotButton="0" quotePrefix="0" xfId="0">
      <alignment horizontal="center" vertical="center" wrapText="1"/>
    </xf>
    <xf numFmtId="20" fontId="23" fillId="0" borderId="6" applyAlignment="1" pivotButton="0" quotePrefix="0" xfId="0">
      <alignment horizontal="center" vertical="center" wrapText="1"/>
    </xf>
    <xf numFmtId="165" fontId="18" fillId="0" borderId="5" applyAlignment="1" pivotButton="0" quotePrefix="0" xfId="1">
      <alignment vertical="center"/>
    </xf>
    <xf numFmtId="165" fontId="20" fillId="0" borderId="5" applyAlignment="1" pivotButton="0" quotePrefix="0" xfId="1">
      <alignment vertical="center"/>
    </xf>
    <xf numFmtId="164" fontId="5" fillId="0" borderId="0" pivotButton="0" quotePrefix="0" xfId="1"/>
    <xf numFmtId="164" fontId="4" fillId="0" borderId="0" applyAlignment="1" pivotButton="0" quotePrefix="0" xfId="1">
      <alignment vertical="center"/>
    </xf>
    <xf numFmtId="164" fontId="3" fillId="0" borderId="0" applyAlignment="1" pivotButton="0" quotePrefix="0" xfId="1">
      <alignment vertical="center"/>
    </xf>
    <xf numFmtId="164" fontId="24" fillId="2" borderId="1" applyAlignment="1" pivotButton="0" quotePrefix="0" xfId="1">
      <alignment vertical="center" wrapText="1"/>
    </xf>
    <xf numFmtId="164" fontId="24" fillId="2" borderId="1" applyAlignment="1" pivotButton="0" quotePrefix="0" xfId="1">
      <alignment horizontal="center" vertical="center"/>
    </xf>
    <xf numFmtId="164" fontId="2" fillId="0" borderId="0" applyAlignment="1" pivotButton="0" quotePrefix="0" xfId="1">
      <alignment horizontal="center" vertical="center"/>
    </xf>
    <xf numFmtId="164" fontId="24" fillId="2" borderId="1" applyAlignment="1" pivotButton="0" quotePrefix="0" xfId="1">
      <alignment horizontal="right" vertical="center"/>
    </xf>
    <xf numFmtId="164" fontId="25" fillId="2" borderId="1" applyAlignment="1" pivotButton="0" quotePrefix="0" xfId="1">
      <alignment vertical="center"/>
    </xf>
    <xf numFmtId="164" fontId="3" fillId="0" borderId="2" pivotButton="0" quotePrefix="0" xfId="1"/>
    <xf numFmtId="164" fontId="25" fillId="3" borderId="3" applyAlignment="1" pivotButton="0" quotePrefix="0" xfId="1">
      <alignment horizontal="center" vertical="center" wrapText="1"/>
    </xf>
    <xf numFmtId="164" fontId="25" fillId="3" borderId="4" applyAlignment="1" pivotButton="0" quotePrefix="0" xfId="1">
      <alignment horizontal="center" vertical="center" wrapText="1"/>
    </xf>
    <xf numFmtId="164" fontId="21" fillId="2" borderId="5" applyAlignment="1" pivotButton="0" quotePrefix="0" xfId="1">
      <alignment horizontal="right" vertical="center" wrapText="1"/>
    </xf>
    <xf numFmtId="164" fontId="21" fillId="0" borderId="5" applyAlignment="1" pivotButton="0" quotePrefix="0" xfId="1">
      <alignment horizontal="right" vertical="center" wrapText="1"/>
    </xf>
    <xf numFmtId="165" fontId="9" fillId="0" borderId="0" applyAlignment="1" pivotButton="0" quotePrefix="0" xfId="1">
      <alignment horizontal="center" vertical="center"/>
    </xf>
    <xf numFmtId="165" fontId="7" fillId="0" borderId="0" applyAlignment="1" pivotButton="0" quotePrefix="0" xfId="1">
      <alignment vertical="center"/>
    </xf>
    <xf numFmtId="164" fontId="40" fillId="0" borderId="5" applyAlignment="1" pivotButton="0" quotePrefix="0" xfId="1">
      <alignment horizontal="right" vertical="center" wrapText="1"/>
    </xf>
    <xf numFmtId="165" fontId="41" fillId="0" borderId="0" applyAlignment="1" pivotButton="0" quotePrefix="0" xfId="1">
      <alignment horizontal="center" vertical="center"/>
    </xf>
    <xf numFmtId="165" fontId="41" fillId="0" borderId="0" applyAlignment="1" pivotButton="0" quotePrefix="0" xfId="1">
      <alignment vertical="center"/>
    </xf>
    <xf numFmtId="164" fontId="21" fillId="0" borderId="6" applyAlignment="1" pivotButton="0" quotePrefix="0" xfId="1">
      <alignment horizontal="right" vertical="center" wrapText="1"/>
    </xf>
    <xf numFmtId="164" fontId="6" fillId="4" borderId="5" applyAlignment="1" pivotButton="0" quotePrefix="0" xfId="1">
      <alignment horizontal="right" vertical="center" wrapText="1"/>
    </xf>
    <xf numFmtId="21" fontId="0" fillId="0" borderId="0" pivotButton="0" quotePrefix="0" xfId="0"/>
    <xf numFmtId="0" fontId="31" fillId="5" borderId="14" applyAlignment="1" pivotButton="0" quotePrefix="0" xfId="0">
      <alignment horizontal="center" vertical="center"/>
    </xf>
    <xf numFmtId="0" fontId="0" fillId="0" borderId="8" pivotButton="0" quotePrefix="0" xfId="0"/>
    <xf numFmtId="164" fontId="31" fillId="5" borderId="14" applyAlignment="1" pivotButton="0" quotePrefix="0" xfId="1">
      <alignment horizontal="center" vertical="center" wrapText="1"/>
    </xf>
    <xf numFmtId="164" fontId="31" fillId="5" borderId="9" applyAlignment="1" pivotButton="0" quotePrefix="0" xfId="1">
      <alignment horizontal="center" vertical="center" wrapText="1"/>
    </xf>
    <xf numFmtId="164" fontId="31" fillId="5" borderId="9" applyAlignment="1" pivotButton="0" quotePrefix="0" xfId="1">
      <alignment vertical="center" wrapText="1"/>
    </xf>
    <xf numFmtId="0" fontId="0" fillId="0" borderId="11" pivotButton="0" quotePrefix="0" xfId="0"/>
    <xf numFmtId="0" fontId="0" fillId="0" borderId="12" pivotButton="0" quotePrefix="0" xfId="0"/>
    <xf numFmtId="164" fontId="2" fillId="6" borderId="5" applyAlignment="1" pivotButton="0" quotePrefix="0" xfId="1">
      <alignment vertical="center" wrapText="1"/>
    </xf>
    <xf numFmtId="164" fontId="3" fillId="0" borderId="5" applyAlignment="1" pivotButton="0" quotePrefix="0" xfId="1">
      <alignment vertical="center"/>
    </xf>
    <xf numFmtId="164" fontId="6" fillId="0" borderId="5" applyAlignment="1" pivotButton="0" quotePrefix="0" xfId="1">
      <alignment vertical="center"/>
    </xf>
    <xf numFmtId="164" fontId="13" fillId="6" borderId="5" applyAlignment="1" pivotButton="0" quotePrefix="0" xfId="1">
      <alignment vertical="center" wrapText="1"/>
    </xf>
    <xf numFmtId="164" fontId="13" fillId="0" borderId="5" applyAlignment="1" pivotButton="0" quotePrefix="0" xfId="1">
      <alignment vertical="center"/>
    </xf>
    <xf numFmtId="164" fontId="3" fillId="0" borderId="5" applyAlignment="1" pivotButton="0" quotePrefix="0" xfId="1">
      <alignment vertical="center" wrapText="1"/>
    </xf>
    <xf numFmtId="164" fontId="6" fillId="0" borderId="5" applyAlignment="1" pivotButton="0" quotePrefix="0" xfId="1">
      <alignment vertical="center" wrapText="1"/>
    </xf>
    <xf numFmtId="0" fontId="6" fillId="8" borderId="13" applyAlignment="1" pivotButton="0" quotePrefix="0" xfId="0">
      <alignment horizontal="center" vertical="center"/>
    </xf>
    <xf numFmtId="164" fontId="6" fillId="8" borderId="9" applyAlignment="1" pivotButton="0" quotePrefix="0" xfId="1">
      <alignment vertical="center"/>
    </xf>
    <xf numFmtId="0" fontId="15" fillId="0" borderId="5" applyAlignment="1" pivotButton="0" quotePrefix="0" xfId="0">
      <alignment horizontal="center" vertical="center"/>
    </xf>
    <xf numFmtId="164" fontId="6" fillId="0" borderId="0" applyAlignment="1" pivotButton="0" quotePrefix="0" xfId="1">
      <alignment vertical="center"/>
    </xf>
    <xf numFmtId="164" fontId="6" fillId="0" borderId="0" applyAlignment="1" pivotButton="0" quotePrefix="0" xfId="1">
      <alignment horizontal="center" vertical="center" wrapText="1"/>
    </xf>
    <xf numFmtId="164" fontId="5" fillId="0" borderId="0" applyAlignment="1" pivotButton="0" quotePrefix="0" xfId="1">
      <alignment horizontal="center"/>
    </xf>
    <xf numFmtId="164" fontId="33" fillId="2" borderId="1" applyAlignment="1" pivotButton="0" quotePrefix="0" xfId="1">
      <alignment vertical="center" wrapText="1"/>
    </xf>
    <xf numFmtId="164" fontId="33" fillId="2" borderId="1" applyAlignment="1" pivotButton="0" quotePrefix="0" xfId="1">
      <alignment horizontal="center" vertical="center"/>
    </xf>
    <xf numFmtId="164" fontId="33" fillId="2" borderId="1" applyAlignment="1" pivotButton="0" quotePrefix="0" xfId="1">
      <alignment horizontal="right" vertical="center"/>
    </xf>
    <xf numFmtId="164" fontId="31" fillId="2" borderId="1" applyAlignment="1" pivotButton="0" quotePrefix="0" xfId="1">
      <alignment vertical="center"/>
    </xf>
    <xf numFmtId="164" fontId="31" fillId="3" borderId="3" applyAlignment="1" pivotButton="0" quotePrefix="0" xfId="1">
      <alignment horizontal="center" vertical="center" wrapText="1"/>
    </xf>
    <xf numFmtId="164" fontId="31" fillId="3" borderId="4" applyAlignment="1" pivotButton="0" quotePrefix="0" xfId="1">
      <alignment horizontal="center" vertical="center" wrapText="1"/>
    </xf>
    <xf numFmtId="164" fontId="36" fillId="0" borderId="5" applyAlignment="1" pivotButton="0" quotePrefix="0" xfId="1">
      <alignment horizontal="right" vertical="center" wrapText="1"/>
    </xf>
    <xf numFmtId="164" fontId="30" fillId="0" borderId="5" applyAlignment="1" pivotButton="0" quotePrefix="0" xfId="1">
      <alignment horizontal="right" vertical="center" wrapText="1"/>
    </xf>
    <xf numFmtId="165" fontId="17" fillId="0" borderId="0" applyAlignment="1" pivotButton="0" quotePrefix="0" xfId="1">
      <alignment horizontal="center" vertical="center"/>
    </xf>
    <xf numFmtId="165" fontId="17" fillId="0" borderId="0" applyAlignment="1" pivotButton="0" quotePrefix="0" xfId="1">
      <alignment vertical="center"/>
    </xf>
    <xf numFmtId="164" fontId="32" fillId="0" borderId="5" applyAlignment="1" pivotButton="0" quotePrefix="0" xfId="1">
      <alignment horizontal="right" vertical="center" wrapText="1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L10" sqref="L10"/>
    </sheetView>
  </sheetViews>
  <sheetFormatPr baseColWidth="8" defaultColWidth="9" defaultRowHeight="13.8"/>
  <cols>
    <col width="10.5546875" customWidth="1" style="38" min="1" max="1"/>
    <col width="46.109375" customWidth="1" style="38" min="2" max="2"/>
    <col width="30.6640625" customWidth="1" style="38" min="3" max="3"/>
    <col width="9" customWidth="1" style="38" min="4" max="16384"/>
  </cols>
  <sheetData>
    <row r="1" ht="15" customHeight="1">
      <c r="A1" s="104" t="inlineStr">
        <is>
          <t>CÔNG TY TNHH DỊCH VỤ DU LỊCH XUÂN THẢO</t>
        </is>
      </c>
    </row>
    <row r="2" ht="15" customHeight="1">
      <c r="A2" s="104" t="inlineStr">
        <is>
          <t xml:space="preserve">MST: 0315250973   Email: dulichxuanthao2018@gmail.com   </t>
        </is>
      </c>
    </row>
    <row r="3" ht="15" customHeight="1">
      <c r="A3" s="104" t="inlineStr">
        <is>
          <t>ĐỊA CHỈ: Số 7 Đường số 3, Phường Tân Phú, Quận 7, Tp.HCM</t>
        </is>
      </c>
    </row>
    <row r="4" ht="15" customHeight="1">
      <c r="A4" s="104" t="inlineStr">
        <is>
          <t xml:space="preserve">ĐT: 0907.173.113 - 081.1717.3113    </t>
        </is>
      </c>
    </row>
    <row r="5" ht="15" customHeight="1">
      <c r="A5" s="39" t="n"/>
      <c r="B5" s="39" t="n"/>
      <c r="C5" s="39" t="n"/>
    </row>
    <row r="6" ht="18" customHeight="1">
      <c r="A6" s="102" t="inlineStr">
        <is>
          <t>ĐƠN VỊ: CÔNG TY TNHH  GOSHU KOHSAN ( VIỆT NAM )</t>
        </is>
      </c>
      <c r="B6" s="103" t="n"/>
      <c r="C6" s="103" t="n"/>
    </row>
    <row r="7" ht="15" customHeight="1">
      <c r="B7" s="40" t="n"/>
      <c r="C7" s="40" t="n"/>
    </row>
    <row r="8" ht="27.75" customHeight="1">
      <c r="A8" s="105" t="inlineStr">
        <is>
          <t>TỔNG HỢP CHI PHÍ THUÊ XE THÁNG 10( từ ngày 26/09/2025 đến 25/10/2025)</t>
        </is>
      </c>
    </row>
    <row r="10" ht="24.75" customFormat="1" customHeight="1" s="42">
      <c r="A10" s="41" t="inlineStr">
        <is>
          <t>STT</t>
        </is>
      </c>
      <c r="B10" s="41" t="inlineStr">
        <is>
          <t>NỘI DUNG</t>
        </is>
      </c>
      <c r="C10" s="41" t="inlineStr">
        <is>
          <t>Số tiền</t>
        </is>
      </c>
    </row>
    <row r="11" ht="24.75" customHeight="1">
      <c r="A11" s="43" t="n">
        <v>1</v>
      </c>
      <c r="B11" s="44" t="inlineStr">
        <is>
          <t>Xe 51L-268.40</t>
        </is>
      </c>
      <c r="C11" s="152">
        <f>'51L-268.40'!M43</f>
        <v/>
      </c>
    </row>
    <row r="12" ht="24.75" customHeight="1">
      <c r="A12" s="43" t="n">
        <v>2</v>
      </c>
      <c r="B12" s="44" t="inlineStr">
        <is>
          <t>XE 51K-365.77</t>
        </is>
      </c>
      <c r="C12" s="152">
        <f>'51K-365.77'!M45</f>
        <v/>
      </c>
    </row>
    <row r="13" ht="24.75" customHeight="1">
      <c r="A13" s="43" t="n"/>
      <c r="B13" s="46" t="inlineStr">
        <is>
          <t>TỔNG CỘNG</t>
        </is>
      </c>
      <c r="C13" s="153">
        <f>SUM(C11:C12)</f>
        <v/>
      </c>
    </row>
  </sheetData>
  <mergeCells count="5">
    <mergeCell ref="A1:C1"/>
    <mergeCell ref="A8:C8"/>
    <mergeCell ref="A3:C3"/>
    <mergeCell ref="A4:C4"/>
    <mergeCell ref="A2:C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3">
    <outlinePr summaryBelow="1" summaryRight="1"/>
    <pageSetUpPr fitToPage="1"/>
  </sheetPr>
  <dimension ref="A1:V82"/>
  <sheetViews>
    <sheetView topLeftCell="A21" workbookViewId="0">
      <selection activeCell="L27" sqref="L27"/>
    </sheetView>
  </sheetViews>
  <sheetFormatPr baseColWidth="8" defaultColWidth="9.109375" defaultRowHeight="15.6"/>
  <cols>
    <col width="12.5546875" bestFit="1" customWidth="1" style="5" min="1" max="1"/>
    <col width="12.5546875" customWidth="1" style="5" min="2" max="2"/>
    <col width="12" bestFit="1" customWidth="1" style="5" min="3" max="3"/>
    <col width="19" customWidth="1" style="5" min="4" max="4"/>
    <col width="43.5546875" customWidth="1" style="5" min="5" max="5"/>
    <col width="9.109375" customWidth="1" style="5" min="6" max="6"/>
    <col width="20.109375" bestFit="1" customWidth="1" style="5" min="7" max="7"/>
    <col width="9.109375" customWidth="1" style="154" min="8" max="8"/>
    <col width="10.6640625" bestFit="1" customWidth="1" style="154" min="9" max="9"/>
    <col width="10.44140625" bestFit="1" customWidth="1" style="154" min="10" max="10"/>
    <col width="9.109375" customWidth="1" style="154" min="11" max="11"/>
    <col width="15.44140625" bestFit="1" customWidth="1" style="154" min="12" max="12"/>
    <col width="12.44140625" customWidth="1" style="154" min="13" max="13"/>
    <col width="9.109375" customWidth="1" style="5" min="14" max="16"/>
    <col width="6.44140625" customWidth="1" style="5" min="17" max="17"/>
    <col width="9.109375" customWidth="1" style="5" min="18" max="16384"/>
  </cols>
  <sheetData>
    <row r="1">
      <c r="A1" s="108" t="inlineStr">
        <is>
          <t>CÔNG TY TNHH DỊCH VỤ DU LỊCH XUÂN THẢO</t>
        </is>
      </c>
      <c r="F1" s="2" t="n"/>
      <c r="G1" s="2" t="n"/>
      <c r="H1" s="155" t="n"/>
      <c r="I1" s="155" t="n"/>
      <c r="J1" s="155" t="n"/>
      <c r="K1" s="156" t="n"/>
      <c r="L1" s="157" t="inlineStr">
        <is>
          <t>Time</t>
        </is>
      </c>
      <c r="M1" s="158" t="inlineStr">
        <is>
          <t>7h00-18h30</t>
        </is>
      </c>
    </row>
    <row r="2">
      <c r="A2" s="108" t="inlineStr">
        <is>
          <t xml:space="preserve">MST: 0315250973   Email: dulichxuanthao2018@gmail.com   </t>
        </is>
      </c>
      <c r="F2" s="6" t="n"/>
      <c r="G2" s="6" t="n"/>
      <c r="H2" s="159" t="n"/>
      <c r="I2" s="159" t="n"/>
      <c r="J2" s="159" t="n"/>
      <c r="K2" s="156" t="n"/>
      <c r="L2" s="157" t="inlineStr">
        <is>
          <t>KM</t>
        </is>
      </c>
      <c r="M2" s="160" t="n">
        <v>7000</v>
      </c>
    </row>
    <row r="3">
      <c r="A3" s="108" t="inlineStr">
        <is>
          <t>ĐỊA CHỈ: Số 7 Đường số 3, Phường Tân Phú, Quận 7, Tp.HCM</t>
        </is>
      </c>
      <c r="F3" s="6" t="n"/>
      <c r="G3" s="6" t="n"/>
      <c r="H3" s="159" t="n"/>
      <c r="I3" s="159" t="n"/>
      <c r="J3" s="159" t="n"/>
      <c r="K3" s="156" t="n"/>
      <c r="L3" s="157" t="inlineStr">
        <is>
          <t>OVERTIME</t>
        </is>
      </c>
      <c r="M3" s="158" t="n">
        <v>70000</v>
      </c>
    </row>
    <row r="4">
      <c r="A4" s="108" t="inlineStr">
        <is>
          <t xml:space="preserve">ĐT: 0907.173.113 - 081.1717.3113    </t>
        </is>
      </c>
      <c r="F4" s="6" t="n"/>
      <c r="G4" s="6" t="n"/>
      <c r="H4" s="159" t="n"/>
      <c r="I4" s="159" t="n"/>
      <c r="J4" s="159" t="n"/>
      <c r="K4" s="156" t="n"/>
      <c r="L4" s="157" t="inlineStr">
        <is>
          <t>XE 7C</t>
        </is>
      </c>
      <c r="M4" s="161" t="inlineStr">
        <is>
          <t>2.600/23ngày</t>
        </is>
      </c>
    </row>
    <row r="5">
      <c r="A5" s="110" t="inlineStr">
        <is>
          <t>ĐƠN VỊ: CÔNG TY TNHH GOSHU KOHSAN ( VIỆT NAM )</t>
        </is>
      </c>
    </row>
    <row r="6" ht="15.75" customHeight="1">
      <c r="A6" s="112" t="inlineStr">
        <is>
          <t>TỔNG HỢP CHI PHÍ THUÊ XE THÁNG 10 ( từ ngày 26/10/2025 đến 25/11/2025)</t>
        </is>
      </c>
    </row>
    <row r="7" ht="15" customHeight="1">
      <c r="A7" s="8" t="inlineStr">
        <is>
          <t>Biển số xe :</t>
        </is>
      </c>
      <c r="B7" s="9" t="inlineStr">
        <is>
          <t>51L-268.40</t>
        </is>
      </c>
      <c r="C7" s="1" t="n"/>
      <c r="D7" s="10" t="n"/>
      <c r="E7" s="10" t="n"/>
      <c r="F7" s="10" t="n"/>
      <c r="G7" s="10" t="n"/>
      <c r="H7" s="162" t="n"/>
      <c r="I7" s="162" t="n"/>
      <c r="J7" s="162" t="n"/>
      <c r="K7" s="162" t="n"/>
      <c r="L7" s="162" t="n"/>
      <c r="M7" s="162" t="n"/>
    </row>
    <row r="8" ht="20.4" customFormat="1" customHeight="1" s="56">
      <c r="A8" s="52" t="inlineStr">
        <is>
          <t>STT</t>
        </is>
      </c>
      <c r="B8" s="52" t="inlineStr">
        <is>
          <t>THỨ</t>
        </is>
      </c>
      <c r="C8" s="53" t="inlineStr">
        <is>
          <t>NGAY</t>
        </is>
      </c>
      <c r="D8" s="52" t="inlineStr">
        <is>
          <t>TÀI XẾ</t>
        </is>
      </c>
      <c r="E8" s="52" t="inlineStr">
        <is>
          <t>ĐỊA ĐIỂM</t>
        </is>
      </c>
      <c r="F8" s="52" t="inlineStr">
        <is>
          <t>THỜI GIAN BẮT ĐẦU</t>
        </is>
      </c>
      <c r="G8" s="52" t="inlineStr">
        <is>
          <t>THỜI GIAN KẾT THÚC</t>
        </is>
      </c>
      <c r="H8" s="163" t="inlineStr">
        <is>
          <t>OVER TIME</t>
        </is>
      </c>
      <c r="I8" s="163" t="inlineStr">
        <is>
          <t>KM BẮT ĐẦU</t>
        </is>
      </c>
      <c r="J8" s="163" t="inlineStr">
        <is>
          <t>KM KẾT THÚC</t>
        </is>
      </c>
      <c r="K8" s="163" t="inlineStr">
        <is>
          <t>KM SỬ DỤNG</t>
        </is>
      </c>
      <c r="L8" s="164" t="inlineStr">
        <is>
          <t>Vé VETC</t>
        </is>
      </c>
      <c r="M8" s="163" t="inlineStr">
        <is>
          <t>Số Lượng</t>
        </is>
      </c>
      <c r="Q8" s="57" t="n">
        <v>0.2916666666666667</v>
      </c>
      <c r="R8" s="57" t="n">
        <v>0.7708333333333334</v>
      </c>
      <c r="S8" s="58" t="n"/>
      <c r="T8" s="59" t="inlineStr">
        <is>
          <t>OT</t>
        </is>
      </c>
    </row>
    <row r="9" ht="27.75" customHeight="1">
      <c r="A9" s="60" t="inlineStr">
        <is>
          <t>ĐỊA CHỈ: Số 7 Đường số 3, Phường Tân Phú, Quận 7, Tp.HCM</t>
        </is>
      </c>
      <c r="B9" s="60" t="inlineStr"/>
      <c r="C9" s="61" t="inlineStr"/>
      <c r="D9" s="60" t="inlineStr"/>
      <c r="E9" s="62" t="inlineStr"/>
      <c r="F9" s="63" t="inlineStr"/>
      <c r="G9" s="63" t="inlineStr"/>
      <c r="H9" s="165" t="inlineStr"/>
      <c r="I9" s="166" t="inlineStr"/>
      <c r="J9" s="166" t="inlineStr"/>
      <c r="K9" s="166" t="inlineStr"/>
      <c r="L9" s="166" t="inlineStr">
        <is>
          <t>OVERTIME</t>
        </is>
      </c>
      <c r="M9" s="166" t="inlineStr">
        <is>
          <t>70000</t>
        </is>
      </c>
      <c r="N9" t="inlineStr"/>
      <c r="O9" t="inlineStr"/>
      <c r="P9" t="inlineStr"/>
      <c r="Q9" s="12" t="inlineStr"/>
      <c r="R9" s="12" t="inlineStr"/>
      <c r="S9" s="167" t="inlineStr"/>
      <c r="T9" s="168" t="inlineStr"/>
      <c r="U9" t="inlineStr"/>
      <c r="V9" t="inlineStr"/>
    </row>
    <row r="10" ht="27.75" customHeight="1">
      <c r="A10" s="60" t="inlineStr">
        <is>
          <t xml:space="preserve">ĐT: 0907.173.113 - 081.1717.3113    </t>
        </is>
      </c>
      <c r="B10" s="60" t="inlineStr"/>
      <c r="C10" s="61" t="inlineStr"/>
      <c r="D10" s="60" t="inlineStr"/>
      <c r="E10" s="62" t="inlineStr"/>
      <c r="F10" s="63" t="inlineStr"/>
      <c r="G10" s="63" t="inlineStr"/>
      <c r="H10" s="166" t="inlineStr"/>
      <c r="I10" s="166" t="inlineStr"/>
      <c r="J10" s="166" t="inlineStr"/>
      <c r="K10" s="166" t="inlineStr"/>
      <c r="L10" s="166" t="inlineStr">
        <is>
          <t>XE 7C</t>
        </is>
      </c>
      <c r="M10" s="166" t="inlineStr">
        <is>
          <t>2.600/23ngày</t>
        </is>
      </c>
      <c r="N10" t="inlineStr"/>
      <c r="O10" t="inlineStr"/>
      <c r="P10" t="inlineStr"/>
      <c r="Q10" s="12" t="inlineStr"/>
      <c r="R10" s="12" t="inlineStr"/>
      <c r="S10" s="167" t="inlineStr"/>
      <c r="T10" s="168" t="inlineStr"/>
      <c r="U10" t="inlineStr"/>
      <c r="V10" t="inlineStr"/>
    </row>
    <row r="11" ht="27.75" customHeight="1">
      <c r="A11" s="60" t="inlineStr">
        <is>
          <t>ĐƠN VỊ: CÔNG TY TNHH GOSHU KOHSAN ( VIỆT NAM )</t>
        </is>
      </c>
      <c r="B11" s="60" t="inlineStr"/>
      <c r="C11" s="61" t="inlineStr"/>
      <c r="D11" s="60" t="inlineStr"/>
      <c r="E11" s="62" t="inlineStr"/>
      <c r="F11" s="63" t="inlineStr"/>
      <c r="G11" s="63" t="inlineStr"/>
      <c r="H11" s="166" t="inlineStr"/>
      <c r="I11" s="166" t="inlineStr"/>
      <c r="J11" s="166" t="inlineStr"/>
      <c r="K11" s="166" t="inlineStr"/>
      <c r="L11" s="166" t="inlineStr"/>
      <c r="M11" s="166" t="inlineStr"/>
      <c r="N11" t="inlineStr"/>
      <c r="O11" t="inlineStr"/>
      <c r="P11" t="inlineStr"/>
      <c r="Q11" s="12" t="inlineStr"/>
      <c r="R11" s="12" t="inlineStr"/>
      <c r="S11" s="167" t="inlineStr"/>
      <c r="T11" s="168" t="inlineStr"/>
      <c r="U11" t="inlineStr"/>
      <c r="V11" t="inlineStr"/>
    </row>
    <row r="12" ht="27.75" customHeight="1">
      <c r="A12" s="60" t="inlineStr">
        <is>
          <t>TỔNG HỢP CHI PHÍ THUÊ XE THÁNG 10 ( từ ngày 26/10/2025 đến 25/11/2025)</t>
        </is>
      </c>
      <c r="B12" s="60" t="inlineStr"/>
      <c r="C12" s="61" t="inlineStr"/>
      <c r="D12" s="60" t="inlineStr"/>
      <c r="E12" s="62" t="inlineStr"/>
      <c r="F12" s="63" t="inlineStr"/>
      <c r="G12" s="63" t="inlineStr"/>
      <c r="H12" s="166" t="inlineStr"/>
      <c r="I12" s="166" t="inlineStr"/>
      <c r="J12" s="166" t="inlineStr"/>
      <c r="K12" s="166" t="inlineStr"/>
      <c r="L12" s="166" t="inlineStr"/>
      <c r="M12" s="166" t="inlineStr"/>
      <c r="N12" t="inlineStr"/>
      <c r="O12" t="inlineStr"/>
      <c r="P12" t="inlineStr"/>
      <c r="Q12" s="12" t="inlineStr"/>
      <c r="R12" s="12" t="inlineStr"/>
      <c r="S12" s="167" t="inlineStr"/>
      <c r="T12" s="168" t="inlineStr"/>
      <c r="U12" t="inlineStr"/>
      <c r="V12" t="inlineStr"/>
    </row>
    <row r="13" ht="27.75" customHeight="1">
      <c r="A13" s="60" t="inlineStr">
        <is>
          <t>Biển số xe :</t>
        </is>
      </c>
      <c r="B13" s="60" t="inlineStr">
        <is>
          <t>51L-268.40</t>
        </is>
      </c>
      <c r="C13" s="61" t="inlineStr"/>
      <c r="D13" s="60" t="inlineStr"/>
      <c r="E13" s="62" t="inlineStr"/>
      <c r="F13" s="63" t="inlineStr"/>
      <c r="G13" s="63" t="inlineStr"/>
      <c r="H13" s="166" t="inlineStr"/>
      <c r="I13" s="166" t="inlineStr"/>
      <c r="J13" s="166" t="inlineStr"/>
      <c r="K13" s="166" t="inlineStr"/>
      <c r="L13" s="166" t="inlineStr"/>
      <c r="M13" s="166" t="inlineStr"/>
      <c r="N13" t="inlineStr"/>
      <c r="O13" t="inlineStr"/>
      <c r="P13" t="inlineStr"/>
      <c r="Q13" s="12" t="inlineStr"/>
      <c r="R13" s="12" t="inlineStr"/>
      <c r="S13" s="167" t="inlineStr"/>
      <c r="T13" s="168" t="inlineStr"/>
      <c r="U13" t="inlineStr"/>
      <c r="V13" t="inlineStr"/>
    </row>
    <row r="14" ht="27.75" customHeight="1">
      <c r="A14" s="60" t="inlineStr">
        <is>
          <t>STT</t>
        </is>
      </c>
      <c r="B14" s="60" t="inlineStr">
        <is>
          <t>THỨ</t>
        </is>
      </c>
      <c r="C14" s="61" t="inlineStr">
        <is>
          <t>NGAY</t>
        </is>
      </c>
      <c r="D14" s="60" t="inlineStr">
        <is>
          <t>TÀI XẾ</t>
        </is>
      </c>
      <c r="E14" s="62" t="inlineStr">
        <is>
          <t>ĐỊA ĐIỂM</t>
        </is>
      </c>
      <c r="F14" s="63" t="inlineStr">
        <is>
          <t>THỜI GIAN BẮT ĐẦU</t>
        </is>
      </c>
      <c r="G14" s="63" t="inlineStr">
        <is>
          <t>THỜI GIAN KẾT THÚC</t>
        </is>
      </c>
      <c r="H14" s="166" t="inlineStr">
        <is>
          <t>OVER TIME</t>
        </is>
      </c>
      <c r="I14" s="166" t="inlineStr">
        <is>
          <t>KM BẮT ĐẦU</t>
        </is>
      </c>
      <c r="J14" s="166" t="inlineStr">
        <is>
          <t>KM KẾT THÚC</t>
        </is>
      </c>
      <c r="K14" s="166" t="inlineStr">
        <is>
          <t>KM SỬ DỤNG</t>
        </is>
      </c>
      <c r="L14" s="166" t="inlineStr">
        <is>
          <t>Vé VETC</t>
        </is>
      </c>
      <c r="M14" s="166" t="inlineStr">
        <is>
          <t>Số Lượng</t>
        </is>
      </c>
      <c r="N14" t="inlineStr"/>
      <c r="O14" t="inlineStr"/>
      <c r="P14" t="inlineStr"/>
      <c r="Q14" s="12" t="n">
        <v>0.2916666666666667</v>
      </c>
      <c r="R14" s="12" t="n">
        <v>0.7708333333333334</v>
      </c>
      <c r="S14" s="167" t="inlineStr"/>
      <c r="T14" s="168" t="inlineStr">
        <is>
          <t>OT</t>
        </is>
      </c>
      <c r="U14" t="inlineStr"/>
      <c r="V14" t="inlineStr"/>
    </row>
    <row r="15" ht="27.75" customHeight="1">
      <c r="A15" s="60" t="inlineStr"/>
      <c r="B15" s="60" t="inlineStr">
        <is>
          <t>Thứ Hai</t>
        </is>
      </c>
      <c r="C15" s="61" t="inlineStr">
        <is>
          <t>27/10/2025</t>
        </is>
      </c>
      <c r="D15" s="60" t="inlineStr">
        <is>
          <t>Nguyễn Tấn Minh Kha</t>
        </is>
      </c>
      <c r="E15" s="62" t="inlineStr">
        <is>
          <t>BX-GK-SAIGON TEC-HK-VIETINBANK</t>
        </is>
      </c>
      <c r="F15" s="63" t="inlineStr">
        <is>
          <t>07:00:00</t>
        </is>
      </c>
      <c r="G15" s="63" t="inlineStr">
        <is>
          <t>18:00:00</t>
        </is>
      </c>
      <c r="H15" s="166" t="inlineStr">
        <is>
          <t>0</t>
        </is>
      </c>
      <c r="I15" s="166" t="inlineStr">
        <is>
          <t>47008</t>
        </is>
      </c>
      <c r="J15" s="166" t="inlineStr">
        <is>
          <t>47174</t>
        </is>
      </c>
      <c r="K15" s="166" t="inlineStr">
        <is>
          <t>166</t>
        </is>
      </c>
      <c r="L15" s="166" t="inlineStr">
        <is>
          <t>14000</t>
        </is>
      </c>
      <c r="M15" s="166" t="inlineStr">
        <is>
          <t>0</t>
        </is>
      </c>
      <c r="N15" t="inlineStr"/>
      <c r="O15" t="inlineStr"/>
      <c r="P15" t="inlineStr"/>
      <c r="Q15" s="12" t="n">
        <v>0</v>
      </c>
      <c r="R15" s="12" t="n">
        <v>0</v>
      </c>
      <c r="S15" s="167" t="n">
        <v>0</v>
      </c>
      <c r="T15" s="168" t="inlineStr">
        <is>
          <t>0</t>
        </is>
      </c>
      <c r="U15" t="inlineStr"/>
      <c r="V15" t="inlineStr"/>
    </row>
    <row r="16" ht="27.75" customHeight="1">
      <c r="A16" s="60" t="inlineStr"/>
      <c r="B16" s="60" t="inlineStr">
        <is>
          <t>Thứ Ba</t>
        </is>
      </c>
      <c r="C16" s="61" t="inlineStr">
        <is>
          <t>28/10/2025</t>
        </is>
      </c>
      <c r="D16" s="60" t="inlineStr">
        <is>
          <t>Nguyễn Tấn Minh Kha</t>
        </is>
      </c>
      <c r="E16" s="62" t="inlineStr">
        <is>
          <t>BX-GK-SPMAI-SAIGON STEC-ĐÔNG Á-GK</t>
        </is>
      </c>
      <c r="F16" s="63" t="inlineStr">
        <is>
          <t>06:30:00</t>
        </is>
      </c>
      <c r="G16" s="63" t="inlineStr">
        <is>
          <t>18:30:00</t>
        </is>
      </c>
      <c r="H16" s="166" t="inlineStr">
        <is>
          <t>30</t>
        </is>
      </c>
      <c r="I16" s="166" t="inlineStr">
        <is>
          <t>47174</t>
        </is>
      </c>
      <c r="J16" s="166" t="inlineStr">
        <is>
          <t>47280</t>
        </is>
      </c>
      <c r="K16" s="166" t="inlineStr">
        <is>
          <t>106</t>
        </is>
      </c>
      <c r="L16" s="166" t="inlineStr"/>
      <c r="M16" s="166" t="inlineStr">
        <is>
          <t>0</t>
        </is>
      </c>
      <c r="N16" t="inlineStr"/>
      <c r="O16" t="inlineStr"/>
      <c r="P16" t="inlineStr"/>
      <c r="Q16" s="12" t="n">
        <v>0.02083333333333333</v>
      </c>
      <c r="R16" s="12" t="n">
        <v>0</v>
      </c>
      <c r="S16" s="167" t="n">
        <v>0</v>
      </c>
      <c r="T16" s="168" t="inlineStr">
        <is>
          <t>30</t>
        </is>
      </c>
      <c r="U16" t="inlineStr"/>
      <c r="V16" t="inlineStr"/>
    </row>
    <row r="17" ht="27.75" customHeight="1">
      <c r="A17" s="60" t="inlineStr"/>
      <c r="B17" s="60" t="inlineStr">
        <is>
          <t>Thứ Tư</t>
        </is>
      </c>
      <c r="C17" s="61" t="inlineStr">
        <is>
          <t>29/10/2025</t>
        </is>
      </c>
      <c r="D17" s="60" t="inlineStr">
        <is>
          <t>Nguyễn Tấn Minh Kha</t>
        </is>
      </c>
      <c r="E17" s="62" t="inlineStr">
        <is>
          <t>BX-MĐ-GK-GÒ DẦU-GK-BX</t>
        </is>
      </c>
      <c r="F17" s="63" t="inlineStr">
        <is>
          <t>05:30:00</t>
        </is>
      </c>
      <c r="G17" s="63" t="inlineStr">
        <is>
          <t>18:00:00</t>
        </is>
      </c>
      <c r="H17" s="166" t="inlineStr">
        <is>
          <t>90</t>
        </is>
      </c>
      <c r="I17" s="166" t="inlineStr">
        <is>
          <t>47280</t>
        </is>
      </c>
      <c r="J17" s="166" t="inlineStr">
        <is>
          <t>47442</t>
        </is>
      </c>
      <c r="K17" s="166" t="inlineStr">
        <is>
          <t>162</t>
        </is>
      </c>
      <c r="L17" s="166" t="inlineStr">
        <is>
          <t>90954</t>
        </is>
      </c>
      <c r="M17" s="166" t="inlineStr">
        <is>
          <t>0</t>
        </is>
      </c>
      <c r="N17" t="inlineStr"/>
      <c r="O17" t="inlineStr"/>
      <c r="P17" t="inlineStr"/>
      <c r="Q17" s="12" t="n">
        <v>0.0625</v>
      </c>
      <c r="R17" s="12" t="n">
        <v>0</v>
      </c>
      <c r="S17" s="167" t="n">
        <v>0</v>
      </c>
      <c r="T17" s="168" t="inlineStr">
        <is>
          <t>90</t>
        </is>
      </c>
      <c r="U17" t="inlineStr"/>
      <c r="V17" t="inlineStr"/>
    </row>
    <row r="18" ht="27.75" customHeight="1">
      <c r="A18" s="60" t="inlineStr"/>
      <c r="B18" s="60" t="inlineStr">
        <is>
          <t>Thứ Năm</t>
        </is>
      </c>
      <c r="C18" s="61" t="inlineStr">
        <is>
          <t>30/10/2025</t>
        </is>
      </c>
      <c r="D18" s="60" t="inlineStr">
        <is>
          <t>Nguyễn Tấn Minh Kha</t>
        </is>
      </c>
      <c r="E18" s="62" t="inlineStr">
        <is>
          <t>BX-GK-AICA-GK-BX</t>
        </is>
      </c>
      <c r="F18" s="63" t="inlineStr">
        <is>
          <t>07:00:00</t>
        </is>
      </c>
      <c r="G18" s="63" t="inlineStr">
        <is>
          <t>18:00:00</t>
        </is>
      </c>
      <c r="H18" s="166" t="inlineStr">
        <is>
          <t>0</t>
        </is>
      </c>
      <c r="I18" s="166" t="inlineStr">
        <is>
          <t>47442</t>
        </is>
      </c>
      <c r="J18" s="166" t="inlineStr">
        <is>
          <t>47555</t>
        </is>
      </c>
      <c r="K18" s="166" t="inlineStr">
        <is>
          <t>113</t>
        </is>
      </c>
      <c r="L18" s="67" t="inlineStr">
        <is>
          <t>82326</t>
        </is>
      </c>
      <c r="M18" s="166" t="inlineStr">
        <is>
          <t>0</t>
        </is>
      </c>
      <c r="N18" t="inlineStr"/>
      <c r="O18" t="inlineStr"/>
      <c r="P18" t="inlineStr"/>
      <c r="Q18" s="12" t="n">
        <v>0</v>
      </c>
      <c r="R18" s="12" t="n">
        <v>0</v>
      </c>
      <c r="S18" s="167" t="n">
        <v>0</v>
      </c>
      <c r="T18" s="168" t="inlineStr">
        <is>
          <t>0</t>
        </is>
      </c>
      <c r="U18" t="inlineStr"/>
      <c r="V18" t="inlineStr"/>
    </row>
    <row r="19" ht="27.75" customHeight="1">
      <c r="A19" s="60" t="inlineStr"/>
      <c r="B19" s="60" t="inlineStr">
        <is>
          <t>Thứ Sáu</t>
        </is>
      </c>
      <c r="C19" s="61" t="inlineStr">
        <is>
          <t>31/10/2025</t>
        </is>
      </c>
      <c r="D19" s="60" t="inlineStr">
        <is>
          <t>Nguyễn Tấn Minh Kha</t>
        </is>
      </c>
      <c r="E19" s="62" t="inlineStr">
        <is>
          <t>BX-MD0-GK-KIOWAT-THẢO ĐIỀN-GK-ĐÔNG Á</t>
        </is>
      </c>
      <c r="F19" s="63" t="inlineStr">
        <is>
          <t>05:30:00</t>
        </is>
      </c>
      <c r="G19" s="63" t="inlineStr">
        <is>
          <t>18:00:00</t>
        </is>
      </c>
      <c r="H19" s="166" t="inlineStr">
        <is>
          <t>90</t>
        </is>
      </c>
      <c r="I19" s="166" t="inlineStr">
        <is>
          <t>47555</t>
        </is>
      </c>
      <c r="J19" s="166" t="inlineStr">
        <is>
          <t>47756</t>
        </is>
      </c>
      <c r="K19" s="166" t="inlineStr">
        <is>
          <t>201</t>
        </is>
      </c>
      <c r="L19" s="166" t="inlineStr">
        <is>
          <t>112272</t>
        </is>
      </c>
      <c r="M19" s="166" t="inlineStr"/>
      <c r="N19" t="inlineStr"/>
      <c r="O19" t="inlineStr"/>
      <c r="P19" t="inlineStr"/>
      <c r="Q19" s="12" t="n">
        <v>0.0625</v>
      </c>
      <c r="R19" s="12" t="n">
        <v>0</v>
      </c>
      <c r="S19" s="167" t="n">
        <v>0</v>
      </c>
      <c r="T19" s="168" t="inlineStr">
        <is>
          <t>90</t>
        </is>
      </c>
      <c r="U19" t="inlineStr"/>
      <c r="V19" t="inlineStr"/>
    </row>
    <row r="20" ht="27.75" customHeight="1">
      <c r="A20" s="60" t="inlineStr"/>
      <c r="B20" s="60" t="inlineStr">
        <is>
          <t>Thứ Bảy</t>
        </is>
      </c>
      <c r="C20" s="61" t="inlineStr">
        <is>
          <t>01/11/2025</t>
        </is>
      </c>
      <c r="D20" s="60" t="inlineStr">
        <is>
          <t>Nguyễn Tấn Minh Kha</t>
        </is>
      </c>
      <c r="E20" s="62" t="inlineStr">
        <is>
          <t>BX-GK-HANACANS-Q12-BX</t>
        </is>
      </c>
      <c r="F20" s="63" t="inlineStr">
        <is>
          <t>07:00:00</t>
        </is>
      </c>
      <c r="G20" s="63" t="inlineStr">
        <is>
          <t>20:00:00</t>
        </is>
      </c>
      <c r="H20" s="166" t="inlineStr">
        <is>
          <t>90</t>
        </is>
      </c>
      <c r="I20" s="166" t="inlineStr">
        <is>
          <t>47756</t>
        </is>
      </c>
      <c r="J20" s="166" t="inlineStr">
        <is>
          <t>47911</t>
        </is>
      </c>
      <c r="K20" s="166" t="inlineStr">
        <is>
          <t>155</t>
        </is>
      </c>
      <c r="L20" s="166" t="inlineStr">
        <is>
          <t>60013</t>
        </is>
      </c>
      <c r="M20" s="166" t="inlineStr">
        <is>
          <t>0</t>
        </is>
      </c>
      <c r="N20" t="inlineStr"/>
      <c r="O20" t="inlineStr"/>
      <c r="P20" t="inlineStr"/>
      <c r="Q20" s="12" t="n">
        <v>0</v>
      </c>
      <c r="R20" s="12" t="n">
        <v>0.0625</v>
      </c>
      <c r="S20" s="167" t="n">
        <v>0</v>
      </c>
      <c r="T20" s="168" t="inlineStr">
        <is>
          <t>90</t>
        </is>
      </c>
      <c r="U20" t="inlineStr"/>
      <c r="V20" t="inlineStr"/>
    </row>
    <row r="21" ht="27.75" customHeight="1">
      <c r="A21" s="60" t="inlineStr"/>
      <c r="B21" s="60" t="inlineStr">
        <is>
          <t>Thứ Hai</t>
        </is>
      </c>
      <c r="C21" s="61" t="inlineStr">
        <is>
          <t>03/11/2025</t>
        </is>
      </c>
      <c r="D21" s="60" t="inlineStr">
        <is>
          <t>Nguyễn Tấn Minh Kha</t>
        </is>
      </c>
      <c r="E21" s="62" t="inlineStr">
        <is>
          <t>BX-MĐ-GK-Q12-BX</t>
        </is>
      </c>
      <c r="F21" s="63" t="inlineStr">
        <is>
          <t>05:30:00</t>
        </is>
      </c>
      <c r="G21" s="63" t="inlineStr">
        <is>
          <t>18:30:00</t>
        </is>
      </c>
      <c r="H21" s="166" t="inlineStr">
        <is>
          <t>90</t>
        </is>
      </c>
      <c r="I21" s="166" t="inlineStr">
        <is>
          <t>47911</t>
        </is>
      </c>
      <c r="J21" s="166" t="inlineStr">
        <is>
          <t>48107</t>
        </is>
      </c>
      <c r="K21" s="166" t="inlineStr">
        <is>
          <t>196</t>
        </is>
      </c>
      <c r="L21" s="166" t="inlineStr">
        <is>
          <t>118921</t>
        </is>
      </c>
      <c r="M21" s="166" t="inlineStr">
        <is>
          <t>0</t>
        </is>
      </c>
      <c r="N21" t="inlineStr"/>
      <c r="O21" t="inlineStr"/>
      <c r="P21" t="inlineStr"/>
      <c r="Q21" s="12" t="n">
        <v>0.0625</v>
      </c>
      <c r="R21" s="12" t="n">
        <v>0</v>
      </c>
      <c r="S21" s="167" t="n">
        <v>0</v>
      </c>
      <c r="T21" s="168" t="inlineStr">
        <is>
          <t>90</t>
        </is>
      </c>
      <c r="U21" t="inlineStr"/>
      <c r="V21" t="inlineStr"/>
    </row>
    <row r="22" ht="27.75" customHeight="1">
      <c r="A22" s="60" t="inlineStr"/>
      <c r="B22" s="60" t="inlineStr">
        <is>
          <t>Thứ Ba</t>
        </is>
      </c>
      <c r="C22" s="61" t="inlineStr">
        <is>
          <t>04/11/2025</t>
        </is>
      </c>
      <c r="D22" s="60" t="inlineStr">
        <is>
          <t>Nguyễn Tấn Minh Kha</t>
        </is>
      </c>
      <c r="E22" s="62" t="inlineStr">
        <is>
          <t>BX-Q12-COOP MART-SÓNG THẦN-HANACANS-BX</t>
        </is>
      </c>
      <c r="F22" s="63" t="inlineStr">
        <is>
          <t>05:30:00</t>
        </is>
      </c>
      <c r="G22" s="63" t="inlineStr">
        <is>
          <t>18:30:00</t>
        </is>
      </c>
      <c r="H22" s="166" t="inlineStr">
        <is>
          <t>90</t>
        </is>
      </c>
      <c r="I22" s="166" t="inlineStr">
        <is>
          <t>48107</t>
        </is>
      </c>
      <c r="J22" s="166" t="inlineStr">
        <is>
          <t>48311</t>
        </is>
      </c>
      <c r="K22" s="166" t="inlineStr">
        <is>
          <t>204</t>
        </is>
      </c>
      <c r="L22" s="166" t="inlineStr">
        <is>
          <t>60013</t>
        </is>
      </c>
      <c r="M22" s="166" t="inlineStr">
        <is>
          <t>0</t>
        </is>
      </c>
      <c r="N22" t="inlineStr"/>
      <c r="O22" t="inlineStr"/>
      <c r="P22" t="inlineStr"/>
      <c r="Q22" s="12" t="n">
        <v>0.0625</v>
      </c>
      <c r="R22" s="12" t="n">
        <v>0</v>
      </c>
      <c r="S22" s="167" t="n">
        <v>0</v>
      </c>
      <c r="T22" s="168" t="inlineStr">
        <is>
          <t>90</t>
        </is>
      </c>
      <c r="U22" t="inlineStr"/>
      <c r="V22" t="inlineStr"/>
    </row>
    <row r="23" ht="27.75" customFormat="1" customHeight="1" s="139">
      <c r="A23" s="133" t="inlineStr"/>
      <c r="B23" s="133" t="inlineStr">
        <is>
          <t>Thứ Tư</t>
        </is>
      </c>
      <c r="C23" s="134" t="inlineStr">
        <is>
          <t>05/11/2025</t>
        </is>
      </c>
      <c r="D23" s="133" t="inlineStr">
        <is>
          <t>Nguyễn Tấn Minh Kha</t>
        </is>
      </c>
      <c r="E23" s="135" t="inlineStr">
        <is>
          <t>BX-DÌN KÝ-GK-HANANCAN-BX</t>
        </is>
      </c>
      <c r="F23" s="136" t="inlineStr">
        <is>
          <t>07:00:00</t>
        </is>
      </c>
      <c r="G23" s="136" t="inlineStr">
        <is>
          <t>20:00:00</t>
        </is>
      </c>
      <c r="H23" s="169" t="inlineStr">
        <is>
          <t>90</t>
        </is>
      </c>
      <c r="I23" s="169" t="inlineStr">
        <is>
          <t>48311</t>
        </is>
      </c>
      <c r="J23" s="169" t="inlineStr">
        <is>
          <t>48498</t>
        </is>
      </c>
      <c r="K23" s="169" t="inlineStr">
        <is>
          <t>187</t>
        </is>
      </c>
      <c r="L23" s="169" t="inlineStr">
        <is>
          <t>89467</t>
        </is>
      </c>
      <c r="M23" s="169" t="inlineStr">
        <is>
          <t>0</t>
        </is>
      </c>
      <c r="N23" t="inlineStr"/>
      <c r="O23" t="inlineStr"/>
      <c r="P23" t="inlineStr"/>
      <c r="Q23" s="140" t="n">
        <v>0</v>
      </c>
      <c r="R23" s="140" t="n">
        <v>0.0625</v>
      </c>
      <c r="S23" s="170" t="n">
        <v>0</v>
      </c>
      <c r="T23" s="171" t="inlineStr">
        <is>
          <t>90</t>
        </is>
      </c>
      <c r="U23" t="inlineStr"/>
      <c r="V23" t="inlineStr"/>
    </row>
    <row r="24" ht="27.75" customFormat="1" customHeight="1" s="139">
      <c r="A24" s="133" t="inlineStr"/>
      <c r="B24" s="133" t="inlineStr">
        <is>
          <t>Thứ Năm</t>
        </is>
      </c>
      <c r="C24" s="134" t="inlineStr">
        <is>
          <t>06/11/2025</t>
        </is>
      </c>
      <c r="D24" s="133" t="inlineStr">
        <is>
          <t>Nguyễn Tấn Minh Kha</t>
        </is>
      </c>
      <c r="E24" s="135" t="inlineStr">
        <is>
          <t>BX-GK0AGIMOTO-NITORI-GK</t>
        </is>
      </c>
      <c r="F24" s="136" t="inlineStr">
        <is>
          <t>05:30:00</t>
        </is>
      </c>
      <c r="G24" s="136" t="inlineStr">
        <is>
          <t>18:30:00</t>
        </is>
      </c>
      <c r="H24" s="169" t="inlineStr">
        <is>
          <t>90</t>
        </is>
      </c>
      <c r="I24" s="169" t="inlineStr">
        <is>
          <t>48498</t>
        </is>
      </c>
      <c r="J24" s="169" t="inlineStr">
        <is>
          <t>48673</t>
        </is>
      </c>
      <c r="K24" s="169" t="inlineStr">
        <is>
          <t>175</t>
        </is>
      </c>
      <c r="L24" s="169" t="inlineStr"/>
      <c r="M24" s="169" t="inlineStr">
        <is>
          <t>0</t>
        </is>
      </c>
      <c r="N24" t="inlineStr"/>
      <c r="O24" t="inlineStr"/>
      <c r="P24" t="inlineStr"/>
      <c r="Q24" s="140" t="n">
        <v>0.0625</v>
      </c>
      <c r="R24" s="140" t="n">
        <v>0</v>
      </c>
      <c r="S24" s="170" t="n">
        <v>0</v>
      </c>
      <c r="T24" s="171" t="inlineStr">
        <is>
          <t>90</t>
        </is>
      </c>
      <c r="U24" t="inlineStr"/>
      <c r="V24" t="inlineStr"/>
    </row>
    <row r="25" ht="27.75" customHeight="1">
      <c r="A25" s="60" t="inlineStr"/>
      <c r="B25" s="60" t="inlineStr">
        <is>
          <t>Thứ Sáu</t>
        </is>
      </c>
      <c r="C25" s="61" t="inlineStr">
        <is>
          <t>07/11/2025</t>
        </is>
      </c>
      <c r="D25" s="60" t="inlineStr">
        <is>
          <t>Nguyễn Tấn Minh Kha</t>
        </is>
      </c>
      <c r="E25" s="62" t="inlineStr">
        <is>
          <t>BX-GK-FUSIKURA-BX</t>
        </is>
      </c>
      <c r="F25" s="63" t="inlineStr">
        <is>
          <t>05:30:00</t>
        </is>
      </c>
      <c r="G25" s="63" t="inlineStr">
        <is>
          <t>18:00:00</t>
        </is>
      </c>
      <c r="H25" s="166" t="inlineStr">
        <is>
          <t>90</t>
        </is>
      </c>
      <c r="I25" s="166" t="inlineStr">
        <is>
          <t>48673</t>
        </is>
      </c>
      <c r="J25" s="166" t="inlineStr">
        <is>
          <t>48761</t>
        </is>
      </c>
      <c r="K25" s="166" t="inlineStr">
        <is>
          <t>88</t>
        </is>
      </c>
      <c r="L25" s="166" t="inlineStr"/>
      <c r="M25" s="166" t="inlineStr">
        <is>
          <t>0</t>
        </is>
      </c>
      <c r="N25" t="inlineStr"/>
      <c r="O25" t="inlineStr"/>
      <c r="P25" t="inlineStr"/>
      <c r="Q25" s="12" t="n">
        <v>0.0625</v>
      </c>
      <c r="R25" s="12" t="n">
        <v>0</v>
      </c>
      <c r="S25" s="167" t="n">
        <v>0</v>
      </c>
      <c r="T25" s="168" t="inlineStr">
        <is>
          <t>90</t>
        </is>
      </c>
      <c r="U25" t="inlineStr"/>
      <c r="V25" t="inlineStr"/>
    </row>
    <row r="26" ht="27.75" customHeight="1">
      <c r="A26" s="60" t="inlineStr"/>
      <c r="B26" s="60" t="inlineStr">
        <is>
          <t>Thứ Hai</t>
        </is>
      </c>
      <c r="C26" s="61" t="inlineStr">
        <is>
          <t>10/11/2025</t>
        </is>
      </c>
      <c r="D26" s="60" t="inlineStr">
        <is>
          <t>Nguyễn Tấn Minh Kha</t>
        </is>
      </c>
      <c r="E26" s="62" t="inlineStr">
        <is>
          <t>BX-GK-Q2-GK-GÒ VẤP-BX</t>
        </is>
      </c>
      <c r="F26" s="63" t="inlineStr">
        <is>
          <t>07:00:00</t>
        </is>
      </c>
      <c r="G26" s="63" t="inlineStr">
        <is>
          <t>20:30:00</t>
        </is>
      </c>
      <c r="H26" s="166" t="inlineStr">
        <is>
          <t>120</t>
        </is>
      </c>
      <c r="I26" s="166" t="inlineStr">
        <is>
          <t>48761</t>
        </is>
      </c>
      <c r="J26" s="166" t="inlineStr">
        <is>
          <t>48863</t>
        </is>
      </c>
      <c r="K26" s="166" t="inlineStr">
        <is>
          <t>102</t>
        </is>
      </c>
      <c r="L26" s="166" t="inlineStr">
        <is>
          <t>107999</t>
        </is>
      </c>
      <c r="M26" s="166" t="inlineStr">
        <is>
          <t>0</t>
        </is>
      </c>
      <c r="N26" t="inlineStr"/>
      <c r="O26" t="inlineStr"/>
      <c r="P26" t="inlineStr"/>
      <c r="Q26" s="12" t="n">
        <v>0</v>
      </c>
      <c r="R26" s="12" t="n">
        <v>0.08333333333333333</v>
      </c>
      <c r="S26" s="167" t="n">
        <v>0</v>
      </c>
      <c r="T26" s="168" t="inlineStr">
        <is>
          <t>120</t>
        </is>
      </c>
      <c r="U26" t="inlineStr"/>
      <c r="V26" t="inlineStr"/>
    </row>
    <row r="27" ht="27.75" customHeight="1">
      <c r="A27" s="60" t="inlineStr"/>
      <c r="B27" s="60" t="inlineStr">
        <is>
          <t>Thứ Ba</t>
        </is>
      </c>
      <c r="C27" s="61" t="inlineStr">
        <is>
          <t>11/11/2025</t>
        </is>
      </c>
      <c r="D27" s="60" t="inlineStr">
        <is>
          <t>Nguyễn Tấn Minh Kha</t>
        </is>
      </c>
      <c r="E27" s="62" t="inlineStr">
        <is>
          <t>BX-GK-FUSYKURA-BX</t>
        </is>
      </c>
      <c r="F27" s="63" t="inlineStr">
        <is>
          <t>05:30:00</t>
        </is>
      </c>
      <c r="G27" s="63" t="inlineStr">
        <is>
          <t>18:30:00</t>
        </is>
      </c>
      <c r="H27" s="166" t="inlineStr">
        <is>
          <t>90</t>
        </is>
      </c>
      <c r="I27" s="166" t="inlineStr">
        <is>
          <t>48863</t>
        </is>
      </c>
      <c r="J27" s="166" t="inlineStr">
        <is>
          <t>48936</t>
        </is>
      </c>
      <c r="K27" s="166" t="inlineStr">
        <is>
          <t>73</t>
        </is>
      </c>
      <c r="L27" s="166" t="inlineStr"/>
      <c r="M27" s="166" t="inlineStr">
        <is>
          <t>0</t>
        </is>
      </c>
      <c r="N27" t="inlineStr"/>
      <c r="O27" t="inlineStr"/>
      <c r="P27" t="inlineStr"/>
      <c r="Q27" s="12" t="n">
        <v>0.0625</v>
      </c>
      <c r="R27" s="12" t="n">
        <v>0</v>
      </c>
      <c r="S27" s="167" t="n">
        <v>0</v>
      </c>
      <c r="T27" s="168" t="inlineStr">
        <is>
          <t>90</t>
        </is>
      </c>
      <c r="U27" t="inlineStr"/>
      <c r="V27" t="inlineStr"/>
    </row>
    <row r="28" ht="27.75" customHeight="1">
      <c r="A28" s="60" t="inlineStr"/>
      <c r="B28" s="60" t="inlineStr">
        <is>
          <t>Thứ Tư</t>
        </is>
      </c>
      <c r="C28" s="61" t="inlineStr">
        <is>
          <t>12/11/2025</t>
        </is>
      </c>
      <c r="D28" s="60" t="inlineStr">
        <is>
          <t>Nguyễn Tấn Minh Kha</t>
        </is>
      </c>
      <c r="E28" s="62" t="inlineStr">
        <is>
          <t>BX-GK-LONG AN-GK-GÒ VẤP-BX</t>
        </is>
      </c>
      <c r="F28" s="63" t="inlineStr">
        <is>
          <t>07:00:00</t>
        </is>
      </c>
      <c r="G28" s="63" t="inlineStr">
        <is>
          <t>20:00:00</t>
        </is>
      </c>
      <c r="H28" s="166" t="inlineStr">
        <is>
          <t>90</t>
        </is>
      </c>
      <c r="I28" s="166" t="inlineStr">
        <is>
          <t>48936</t>
        </is>
      </c>
      <c r="J28" s="166" t="inlineStr">
        <is>
          <t>49085</t>
        </is>
      </c>
      <c r="K28" s="166" t="inlineStr">
        <is>
          <t>149</t>
        </is>
      </c>
      <c r="L28" s="166" t="inlineStr">
        <is>
          <t>86908</t>
        </is>
      </c>
      <c r="M28" s="166" t="inlineStr">
        <is>
          <t>0</t>
        </is>
      </c>
      <c r="N28" t="inlineStr"/>
      <c r="O28" t="inlineStr"/>
      <c r="P28" t="inlineStr"/>
      <c r="Q28" s="12" t="n">
        <v>0</v>
      </c>
      <c r="R28" s="12" t="n">
        <v>0.0625</v>
      </c>
      <c r="S28" s="167" t="n">
        <v>0</v>
      </c>
      <c r="T28" s="168" t="inlineStr">
        <is>
          <t>90</t>
        </is>
      </c>
      <c r="U28" t="inlineStr"/>
      <c r="V28" t="inlineStr"/>
    </row>
    <row r="29" ht="27.75" customHeight="1">
      <c r="A29" s="60" t="inlineStr"/>
      <c r="B29" s="60" t="inlineStr">
        <is>
          <t>Thứ Năm</t>
        </is>
      </c>
      <c r="C29" s="61" t="inlineStr">
        <is>
          <t>13/11/2025</t>
        </is>
      </c>
      <c r="D29" s="60" t="inlineStr">
        <is>
          <t>Nguyễn Tấn Minh Kha</t>
        </is>
      </c>
      <c r="E29" s="62" t="inlineStr">
        <is>
          <t>BX-GK-FUSYKURA-NOK-FUSIKURA</t>
        </is>
      </c>
      <c r="F29" s="63" t="inlineStr">
        <is>
          <t>05:30:00</t>
        </is>
      </c>
      <c r="G29" s="63" t="inlineStr">
        <is>
          <t>18:00:00</t>
        </is>
      </c>
      <c r="H29" s="166" t="inlineStr">
        <is>
          <t>90</t>
        </is>
      </c>
      <c r="I29" s="166" t="inlineStr">
        <is>
          <t>49085</t>
        </is>
      </c>
      <c r="J29" s="166" t="inlineStr">
        <is>
          <t>49220</t>
        </is>
      </c>
      <c r="K29" s="166" t="inlineStr">
        <is>
          <t>135</t>
        </is>
      </c>
      <c r="L29" s="166" t="inlineStr"/>
      <c r="M29" s="166" t="inlineStr">
        <is>
          <t>0</t>
        </is>
      </c>
      <c r="N29" t="inlineStr"/>
      <c r="O29" t="inlineStr"/>
      <c r="P29" t="inlineStr"/>
      <c r="Q29" s="12" t="n">
        <v>0.0625</v>
      </c>
      <c r="R29" s="12" t="n">
        <v>0</v>
      </c>
      <c r="S29" s="167" t="n">
        <v>0</v>
      </c>
      <c r="T29" s="168" t="inlineStr">
        <is>
          <t>90</t>
        </is>
      </c>
      <c r="U29" t="inlineStr"/>
      <c r="V29" t="inlineStr"/>
    </row>
    <row r="30" ht="27.75" customHeight="1">
      <c r="A30" s="72" t="inlineStr"/>
      <c r="B30" s="72" t="inlineStr">
        <is>
          <t>Thứ Sáu</t>
        </is>
      </c>
      <c r="C30" s="73" t="inlineStr">
        <is>
          <t>14/11/2025</t>
        </is>
      </c>
      <c r="D30" s="60" t="inlineStr">
        <is>
          <t>Nguyễn Tấn Minh Kha</t>
        </is>
      </c>
      <c r="E30" s="74" t="inlineStr">
        <is>
          <t>BX-GK-KAWAI-LONG ĐỨC-GK</t>
        </is>
      </c>
      <c r="F30" s="63" t="inlineStr">
        <is>
          <t>07:00:00</t>
        </is>
      </c>
      <c r="G30" s="63" t="inlineStr">
        <is>
          <t>18:00:00</t>
        </is>
      </c>
      <c r="H30" s="172" t="inlineStr">
        <is>
          <t>0</t>
        </is>
      </c>
      <c r="I30" s="172" t="inlineStr">
        <is>
          <t>49220</t>
        </is>
      </c>
      <c r="J30" s="172" t="inlineStr">
        <is>
          <t>49385</t>
        </is>
      </c>
      <c r="K30" s="172" t="inlineStr">
        <is>
          <t>165</t>
        </is>
      </c>
      <c r="L30" s="172" t="inlineStr"/>
      <c r="M30" s="172" t="inlineStr">
        <is>
          <t>0</t>
        </is>
      </c>
      <c r="N30" t="inlineStr"/>
      <c r="O30" t="inlineStr"/>
      <c r="P30" t="inlineStr"/>
      <c r="Q30" s="12" t="n">
        <v>0</v>
      </c>
      <c r="R30" s="12" t="n">
        <v>0</v>
      </c>
      <c r="S30" s="167" t="n">
        <v>0</v>
      </c>
      <c r="T30" s="168" t="inlineStr">
        <is>
          <t>0</t>
        </is>
      </c>
      <c r="U30" t="inlineStr"/>
      <c r="V30" t="inlineStr"/>
    </row>
    <row r="31" ht="27.75" customHeight="1">
      <c r="A31" s="72" t="inlineStr"/>
      <c r="B31" s="72" t="inlineStr">
        <is>
          <t>Thứ Hai</t>
        </is>
      </c>
      <c r="C31" s="73" t="inlineStr">
        <is>
          <t>17/11/2025</t>
        </is>
      </c>
      <c r="D31" s="60" t="inlineStr">
        <is>
          <t>Nguyễn Tấn Minh Kha</t>
        </is>
      </c>
      <c r="E31" s="74" t="inlineStr">
        <is>
          <t>BX-GK-KAWAI-GK-BX</t>
        </is>
      </c>
      <c r="F31" s="63" t="inlineStr">
        <is>
          <t>07:00:00</t>
        </is>
      </c>
      <c r="G31" s="63" t="inlineStr">
        <is>
          <t>20:30:00</t>
        </is>
      </c>
      <c r="H31" s="172" t="inlineStr">
        <is>
          <t>120</t>
        </is>
      </c>
      <c r="I31" s="172" t="inlineStr">
        <is>
          <t>49385</t>
        </is>
      </c>
      <c r="J31" s="172" t="inlineStr">
        <is>
          <t>49465</t>
        </is>
      </c>
      <c r="K31" s="172" t="inlineStr">
        <is>
          <t>80</t>
        </is>
      </c>
      <c r="L31" s="172" t="inlineStr"/>
      <c r="M31" s="172" t="inlineStr">
        <is>
          <t>0</t>
        </is>
      </c>
      <c r="N31" t="inlineStr"/>
      <c r="O31" t="inlineStr"/>
      <c r="P31" t="inlineStr"/>
      <c r="Q31" s="12" t="n">
        <v>0</v>
      </c>
      <c r="R31" s="12" t="n">
        <v>0.08333333333333333</v>
      </c>
      <c r="S31" s="167" t="n">
        <v>0</v>
      </c>
      <c r="T31" s="168" t="inlineStr">
        <is>
          <t>120</t>
        </is>
      </c>
      <c r="U31" t="inlineStr"/>
      <c r="V31" t="inlineStr"/>
    </row>
    <row r="32" ht="27.75" customHeight="1">
      <c r="A32" s="72" t="inlineStr"/>
      <c r="B32" s="72" t="inlineStr">
        <is>
          <t>Thứ Ba</t>
        </is>
      </c>
      <c r="C32" s="73" t="inlineStr">
        <is>
          <t>18/11/2025</t>
        </is>
      </c>
      <c r="D32" s="72" t="inlineStr">
        <is>
          <t>Nguyễn Tấn Minh Kha</t>
        </is>
      </c>
      <c r="E32" s="74" t="inlineStr">
        <is>
          <t>BX-NGÃ TƯ BÌNH PHƯỚC-AKVINA-BX</t>
        </is>
      </c>
      <c r="F32" s="63" t="inlineStr">
        <is>
          <t>06:00:00</t>
        </is>
      </c>
      <c r="G32" s="63" t="inlineStr">
        <is>
          <t>22:00:00</t>
        </is>
      </c>
      <c r="H32" s="172" t="inlineStr">
        <is>
          <t>270</t>
        </is>
      </c>
      <c r="I32" s="172" t="inlineStr">
        <is>
          <t>49465</t>
        </is>
      </c>
      <c r="J32" s="172" t="inlineStr">
        <is>
          <t>49602</t>
        </is>
      </c>
      <c r="K32" s="172" t="inlineStr">
        <is>
          <t>137</t>
        </is>
      </c>
      <c r="L32" s="172" t="inlineStr">
        <is>
          <t>101740</t>
        </is>
      </c>
      <c r="M32" s="172" t="inlineStr">
        <is>
          <t>0</t>
        </is>
      </c>
      <c r="N32" t="inlineStr"/>
      <c r="O32" t="inlineStr"/>
      <c r="P32" t="inlineStr"/>
      <c r="Q32" s="12" t="n">
        <v>0.04166666666666666</v>
      </c>
      <c r="R32" s="12" t="n">
        <v>0.1458333333333333</v>
      </c>
      <c r="S32" s="167" t="n">
        <v>0</v>
      </c>
      <c r="T32" s="168" t="inlineStr">
        <is>
          <t>270</t>
        </is>
      </c>
      <c r="U32" t="inlineStr"/>
      <c r="V32" t="inlineStr"/>
    </row>
    <row r="33" ht="28.5" customHeight="1">
      <c r="A33" s="77" t="inlineStr"/>
      <c r="B33" s="77" t="inlineStr">
        <is>
          <t>Thứ Tư</t>
        </is>
      </c>
      <c r="C33" s="78" t="inlineStr">
        <is>
          <t>19/11/2025</t>
        </is>
      </c>
      <c r="D33" s="77" t="inlineStr">
        <is>
          <t>Nguyễn Tấn Minh Kha</t>
        </is>
      </c>
      <c r="E33" s="79" t="inlineStr">
        <is>
          <t>BX-GK-SÂN BAY-GK</t>
        </is>
      </c>
      <c r="F33" s="80" t="inlineStr">
        <is>
          <t>07:00:00</t>
        </is>
      </c>
      <c r="G33" s="80" t="inlineStr">
        <is>
          <t>19:30:00</t>
        </is>
      </c>
      <c r="H33" s="173" t="inlineStr">
        <is>
          <t>60</t>
        </is>
      </c>
      <c r="I33" s="173" t="inlineStr">
        <is>
          <t>49602</t>
        </is>
      </c>
      <c r="J33" s="173" t="inlineStr">
        <is>
          <t>49683</t>
        </is>
      </c>
      <c r="K33" s="173" t="inlineStr">
        <is>
          <t>81</t>
        </is>
      </c>
      <c r="L33" s="173" t="inlineStr">
        <is>
          <t>58908</t>
        </is>
      </c>
      <c r="M33" s="173" t="inlineStr">
        <is>
          <t>0</t>
        </is>
      </c>
      <c r="N33" t="inlineStr"/>
      <c r="O33" t="inlineStr"/>
      <c r="P33" t="inlineStr"/>
      <c r="Q33" s="174" t="n">
        <v>0</v>
      </c>
      <c r="R33" s="174" t="n">
        <v>0.04166666666666666</v>
      </c>
      <c r="S33" s="5" t="n">
        <v>0</v>
      </c>
      <c r="T33" t="inlineStr">
        <is>
          <t>60</t>
        </is>
      </c>
      <c r="U33" t="inlineStr"/>
      <c r="V33" t="inlineStr"/>
    </row>
    <row r="34" ht="26.4" customFormat="1" customHeight="1" s="67">
      <c r="A34" s="81" t="inlineStr"/>
      <c r="B34" s="82" t="inlineStr">
        <is>
          <t>Thứ Năm</t>
        </is>
      </c>
      <c r="C34" s="175" t="inlineStr">
        <is>
          <t>49884</t>
        </is>
      </c>
      <c r="J34" s="176" t="n"/>
      <c r="K34" s="177" t="inlineStr">
        <is>
          <t>201</t>
        </is>
      </c>
      <c r="L34" s="178" t="inlineStr">
        <is>
          <t>19636</t>
        </is>
      </c>
      <c r="M34" s="179" t="inlineStr">
        <is>
          <t>0</t>
        </is>
      </c>
      <c r="N34" t="inlineStr"/>
      <c r="O34" t="inlineStr"/>
      <c r="P34" t="inlineStr"/>
      <c r="Q34" s="174" t="n">
        <v>0.02083333333333333</v>
      </c>
      <c r="R34" s="174" t="n">
        <v>0.02083333333333333</v>
      </c>
      <c r="S34" t="n">
        <v>0</v>
      </c>
      <c r="T34" t="inlineStr">
        <is>
          <t>60</t>
        </is>
      </c>
      <c r="U34" t="inlineStr"/>
      <c r="V34" t="inlineStr"/>
    </row>
    <row r="35" ht="25.5" customHeight="1">
      <c r="A35" s="16" t="inlineStr"/>
      <c r="B35" s="16" t="inlineStr">
        <is>
          <t>Thứ Sáu</t>
        </is>
      </c>
      <c r="C35" s="119" t="inlineStr">
        <is>
          <t>50119</t>
        </is>
      </c>
      <c r="D35" s="180" t="n"/>
      <c r="E35" s="180" t="n"/>
      <c r="F35" s="180" t="n"/>
      <c r="G35" s="180" t="n"/>
      <c r="H35" s="180" t="n"/>
      <c r="I35" s="180" t="n"/>
      <c r="J35" s="181" t="n"/>
      <c r="K35" s="182" t="inlineStr">
        <is>
          <t>235</t>
        </is>
      </c>
      <c r="L35" s="183" t="inlineStr">
        <is>
          <t>58908</t>
        </is>
      </c>
      <c r="M35" s="184" t="inlineStr">
        <is>
          <t>0</t>
        </is>
      </c>
      <c r="N35" t="inlineStr"/>
      <c r="O35" t="inlineStr"/>
      <c r="P35" t="inlineStr"/>
      <c r="Q35" s="174" t="n">
        <v>0</v>
      </c>
      <c r="R35" s="174" t="n">
        <v>0.04166666666666666</v>
      </c>
      <c r="S35" t="n">
        <v>0</v>
      </c>
      <c r="T35" t="inlineStr">
        <is>
          <t>60</t>
        </is>
      </c>
      <c r="U35" t="inlineStr"/>
      <c r="V35" t="inlineStr"/>
    </row>
    <row r="36" ht="25.5" customHeight="1">
      <c r="A36" s="16" t="inlineStr"/>
      <c r="B36" s="16" t="inlineStr">
        <is>
          <t>Thứ Hai</t>
        </is>
      </c>
      <c r="C36" s="121" t="inlineStr">
        <is>
          <t>50296</t>
        </is>
      </c>
      <c r="D36" s="180" t="n"/>
      <c r="E36" s="180" t="n"/>
      <c r="F36" s="180" t="n"/>
      <c r="G36" s="180" t="n"/>
      <c r="H36" s="180" t="n"/>
      <c r="I36" s="180" t="n"/>
      <c r="J36" s="181" t="n"/>
      <c r="K36" s="185" t="inlineStr">
        <is>
          <t>177</t>
        </is>
      </c>
      <c r="L36" s="186" t="inlineStr">
        <is>
          <t>45286</t>
        </is>
      </c>
      <c r="M36" s="184" t="inlineStr"/>
      <c r="N36" t="inlineStr"/>
      <c r="O36" t="inlineStr"/>
      <c r="P36" t="inlineStr"/>
      <c r="Q36" s="174" t="n">
        <v>0</v>
      </c>
      <c r="R36" s="174" t="n">
        <v>0.04166666666666666</v>
      </c>
      <c r="S36" t="n">
        <v>0</v>
      </c>
      <c r="T36" t="inlineStr">
        <is>
          <t>60</t>
        </is>
      </c>
      <c r="U36" t="inlineStr"/>
      <c r="V36" t="inlineStr"/>
    </row>
    <row r="37" ht="25.5" customHeight="1">
      <c r="A37" s="16" t="inlineStr"/>
      <c r="B37" s="16" t="inlineStr">
        <is>
          <t>Thứ Ba</t>
        </is>
      </c>
      <c r="C37" s="121" t="inlineStr">
        <is>
          <t>50380</t>
        </is>
      </c>
      <c r="D37" s="180" t="n"/>
      <c r="E37" s="180" t="n"/>
      <c r="F37" s="180" t="n"/>
      <c r="G37" s="180" t="n"/>
      <c r="H37" s="180" t="n"/>
      <c r="I37" s="180" t="n"/>
      <c r="J37" s="181" t="n"/>
      <c r="K37" s="185" t="inlineStr">
        <is>
          <t>84</t>
        </is>
      </c>
      <c r="L37" s="186" t="inlineStr">
        <is>
          <t>58908</t>
        </is>
      </c>
      <c r="M37" s="184" t="inlineStr"/>
      <c r="N37" t="inlineStr"/>
      <c r="O37" t="inlineStr"/>
      <c r="P37" t="inlineStr"/>
      <c r="Q37" s="174" t="n">
        <v>0.0625</v>
      </c>
      <c r="R37" s="174" t="n">
        <v>0</v>
      </c>
      <c r="S37" t="n">
        <v>0</v>
      </c>
      <c r="T37" t="inlineStr">
        <is>
          <t>90</t>
        </is>
      </c>
      <c r="U37" t="inlineStr"/>
      <c r="V37" t="inlineStr"/>
    </row>
    <row r="38" ht="25.5" customHeight="1">
      <c r="A38" s="16" t="inlineStr"/>
      <c r="B38" s="16" t="inlineStr">
        <is>
          <t>Thứ Ba</t>
        </is>
      </c>
      <c r="C38" s="106" t="inlineStr">
        <is>
          <t>150757</t>
        </is>
      </c>
      <c r="D38" s="180" t="n"/>
      <c r="E38" s="180" t="n"/>
      <c r="F38" s="180" t="n"/>
      <c r="G38" s="180" t="n"/>
      <c r="H38" s="180" t="n"/>
      <c r="I38" s="180" t="n"/>
      <c r="J38" s="181" t="n"/>
      <c r="K38" s="187" t="inlineStr">
        <is>
          <t>197</t>
        </is>
      </c>
      <c r="L38" s="183" t="inlineStr">
        <is>
          <t>71727</t>
        </is>
      </c>
      <c r="M38" s="184" t="inlineStr">
        <is>
          <t>0</t>
        </is>
      </c>
      <c r="N38" t="inlineStr"/>
      <c r="O38" t="inlineStr"/>
      <c r="P38" t="inlineStr"/>
      <c r="Q38" s="174" t="n">
        <v>0.02083333333333333</v>
      </c>
      <c r="R38" s="174" t="n">
        <v>0.2291666666666667</v>
      </c>
      <c r="S38" t="n">
        <v>0</v>
      </c>
      <c r="T38" t="inlineStr">
        <is>
          <t>360</t>
        </is>
      </c>
      <c r="U38" t="inlineStr"/>
      <c r="V38" t="inlineStr"/>
    </row>
    <row r="39" ht="25.5" customHeight="1">
      <c r="A39" s="16" t="inlineStr"/>
      <c r="B39" s="16" t="inlineStr">
        <is>
          <t>Thứ Tư</t>
        </is>
      </c>
      <c r="C39" s="106" t="inlineStr">
        <is>
          <t>150815</t>
        </is>
      </c>
      <c r="D39" s="180" t="n"/>
      <c r="E39" s="180" t="n"/>
      <c r="F39" s="180" t="n"/>
      <c r="G39" s="180" t="n"/>
      <c r="H39" s="180" t="n"/>
      <c r="I39" s="180" t="n"/>
      <c r="J39" s="181" t="n"/>
      <c r="K39" s="187" t="inlineStr">
        <is>
          <t>58</t>
        </is>
      </c>
      <c r="L39" s="183" t="inlineStr">
        <is>
          <t>44181</t>
        </is>
      </c>
      <c r="M39" s="184" t="inlineStr">
        <is>
          <t>0</t>
        </is>
      </c>
      <c r="N39" t="inlineStr"/>
      <c r="O39" t="inlineStr"/>
      <c r="P39" t="inlineStr"/>
      <c r="Q39" s="174" t="n">
        <v>0.02083333333333333</v>
      </c>
      <c r="R39" s="174" t="n">
        <v>0.04166666666666666</v>
      </c>
      <c r="S39" t="n">
        <v>0</v>
      </c>
      <c r="T39" t="inlineStr">
        <is>
          <t>90</t>
        </is>
      </c>
      <c r="U39" t="inlineStr"/>
      <c r="V39" t="inlineStr"/>
    </row>
    <row r="40" ht="25.5" customHeight="1">
      <c r="A40" s="16" t="inlineStr"/>
      <c r="B40" s="16" t="inlineStr">
        <is>
          <t>Thứ Năm</t>
        </is>
      </c>
      <c r="C40" s="106" t="inlineStr">
        <is>
          <t>150941</t>
        </is>
      </c>
      <c r="D40" s="180" t="n"/>
      <c r="E40" s="180" t="n"/>
      <c r="F40" s="180" t="n"/>
      <c r="G40" s="180" t="n"/>
      <c r="H40" s="180" t="n"/>
      <c r="I40" s="180" t="n"/>
      <c r="J40" s="181" t="n"/>
      <c r="K40" s="188" t="inlineStr">
        <is>
          <t>126</t>
        </is>
      </c>
      <c r="L40" s="184" t="inlineStr">
        <is>
          <t>72908</t>
        </is>
      </c>
      <c r="M40" s="184" t="inlineStr">
        <is>
          <t>0</t>
        </is>
      </c>
      <c r="N40" t="inlineStr"/>
      <c r="O40" t="inlineStr"/>
      <c r="P40" t="inlineStr"/>
      <c r="Q40" s="174" t="n">
        <v>0.04166666666666666</v>
      </c>
      <c r="R40" s="174" t="n">
        <v>0</v>
      </c>
      <c r="S40" t="n">
        <v>0</v>
      </c>
      <c r="T40" t="inlineStr">
        <is>
          <t>60</t>
        </is>
      </c>
      <c r="U40" t="inlineStr"/>
      <c r="V40" t="inlineStr"/>
    </row>
    <row r="41" ht="25.5" customHeight="1">
      <c r="A41" s="123" t="inlineStr">
        <is>
          <t>69831</t>
        </is>
      </c>
      <c r="B41" s="180" t="n"/>
      <c r="C41" s="180" t="n"/>
      <c r="D41" s="180" t="n"/>
      <c r="E41" s="180" t="n"/>
      <c r="F41" s="180" t="n"/>
      <c r="G41" s="180" t="n"/>
      <c r="H41" s="180" t="n"/>
      <c r="I41" s="180" t="n"/>
      <c r="J41" s="180" t="n"/>
      <c r="K41" s="180" t="n"/>
      <c r="L41" s="181" t="n"/>
      <c r="M41" s="184" t="inlineStr">
        <is>
          <t>0</t>
        </is>
      </c>
      <c r="N41" t="inlineStr"/>
      <c r="O41" t="inlineStr"/>
      <c r="P41" t="inlineStr"/>
      <c r="Q41" s="174" t="n">
        <v>0.04166666666666666</v>
      </c>
      <c r="R41" s="174" t="n">
        <v>0</v>
      </c>
      <c r="S41" t="n">
        <v>0</v>
      </c>
      <c r="T41" t="inlineStr">
        <is>
          <t>60</t>
        </is>
      </c>
      <c r="U41" t="inlineStr"/>
      <c r="V41" t="inlineStr"/>
    </row>
    <row r="42" ht="25.5" customHeight="1">
      <c r="A42" s="123" t="inlineStr">
        <is>
          <t>29454</t>
        </is>
      </c>
      <c r="B42" s="180" t="n"/>
      <c r="C42" s="180" t="n"/>
      <c r="D42" s="180" t="n"/>
      <c r="E42" s="180" t="n"/>
      <c r="F42" s="180" t="n"/>
      <c r="G42" s="180" t="n"/>
      <c r="H42" s="180" t="n"/>
      <c r="I42" s="180" t="n"/>
      <c r="J42" s="180" t="n"/>
      <c r="K42" s="180" t="n"/>
      <c r="L42" s="181" t="n"/>
      <c r="M42" s="184" t="inlineStr">
        <is>
          <t>0</t>
        </is>
      </c>
      <c r="N42" t="inlineStr"/>
      <c r="O42" t="inlineStr"/>
      <c r="P42" t="inlineStr"/>
      <c r="Q42" s="174" t="n">
        <v>0</v>
      </c>
      <c r="R42" s="174" t="n">
        <v>0</v>
      </c>
      <c r="S42" t="n">
        <v>0</v>
      </c>
      <c r="T42" t="inlineStr">
        <is>
          <t>0</t>
        </is>
      </c>
      <c r="U42" t="inlineStr"/>
      <c r="V42" t="inlineStr"/>
    </row>
    <row r="43" ht="25.5" customHeight="1">
      <c r="A43" s="189" t="inlineStr">
        <is>
          <t>66824</t>
        </is>
      </c>
      <c r="L43" s="176" t="n"/>
      <c r="M43" s="190" t="inlineStr">
        <is>
          <t>0</t>
        </is>
      </c>
      <c r="N43" t="inlineStr"/>
      <c r="O43" t="inlineStr"/>
      <c r="P43" t="inlineStr"/>
      <c r="Q43" s="174" t="n">
        <v>0.05208333333333334</v>
      </c>
      <c r="R43" s="174" t="n">
        <v>0.0625</v>
      </c>
      <c r="S43" t="n">
        <v>0</v>
      </c>
      <c r="T43" t="inlineStr">
        <is>
          <t>165</t>
        </is>
      </c>
      <c r="U43" t="inlineStr"/>
      <c r="V43" s="5" t="inlineStr"/>
    </row>
    <row r="44" ht="25.5" customHeight="1">
      <c r="A44" s="26" t="inlineStr"/>
      <c r="B44" s="26" t="inlineStr">
        <is>
          <t>Thứ Ba</t>
        </is>
      </c>
      <c r="C44" s="191" t="inlineStr">
        <is>
          <t>0</t>
        </is>
      </c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0" t="n"/>
      <c r="M44" s="181" t="n"/>
      <c r="N44" t="inlineStr"/>
      <c r="O44" t="inlineStr"/>
      <c r="P44" t="inlineStr"/>
      <c r="Q44" s="174" t="n">
        <v>0</v>
      </c>
      <c r="R44" s="174" t="n">
        <v>0.08333333333333333</v>
      </c>
      <c r="S44" t="n">
        <v>0</v>
      </c>
      <c r="T44" t="inlineStr">
        <is>
          <t>120</t>
        </is>
      </c>
      <c r="U44" t="inlineStr"/>
      <c r="V44" t="inlineStr"/>
    </row>
    <row r="45">
      <c r="A45" s="27" t="inlineStr"/>
      <c r="B45" s="27" t="inlineStr">
        <is>
          <t>Thứ Tư</t>
        </is>
      </c>
      <c r="C45" s="28" t="inlineStr">
        <is>
          <t>05/11/2025</t>
        </is>
      </c>
      <c r="D45" s="27" t="inlineStr">
        <is>
          <t>Trần Phạm Danh Tánh</t>
        </is>
      </c>
      <c r="E45" s="27" t="inlineStr">
        <is>
          <t>BX-VP-HANACANS-VP-BX</t>
        </is>
      </c>
      <c r="F45" s="27" t="inlineStr">
        <is>
          <t>06:00:00</t>
        </is>
      </c>
      <c r="G45" s="27" t="inlineStr">
        <is>
          <t>21:00:00</t>
        </is>
      </c>
      <c r="H45" s="156" t="inlineStr">
        <is>
          <t>210</t>
        </is>
      </c>
      <c r="I45" s="156" t="inlineStr">
        <is>
          <t>151458</t>
        </is>
      </c>
      <c r="J45" s="192" t="inlineStr">
        <is>
          <t>151622</t>
        </is>
      </c>
      <c r="K45" s="156" t="inlineStr">
        <is>
          <t>164</t>
        </is>
      </c>
      <c r="L45" s="156" t="inlineStr"/>
      <c r="M45" s="156" t="inlineStr">
        <is>
          <t>0</t>
        </is>
      </c>
      <c r="N45" t="inlineStr"/>
      <c r="O45" t="inlineStr"/>
      <c r="P45" t="inlineStr"/>
      <c r="Q45" s="174" t="n">
        <v>0.04166666666666666</v>
      </c>
      <c r="R45" s="174" t="n">
        <v>0.1041666666666667</v>
      </c>
      <c r="S45" t="n">
        <v>0</v>
      </c>
      <c r="T45" t="inlineStr">
        <is>
          <t>210</t>
        </is>
      </c>
      <c r="U45" t="inlineStr"/>
      <c r="V45" t="inlineStr"/>
    </row>
    <row r="46" ht="45.75" customHeight="1">
      <c r="A46" s="132" t="inlineStr">
        <is>
          <t>BX-VP-HANACANS-VP-BX</t>
        </is>
      </c>
      <c r="F46" s="30" t="inlineStr">
        <is>
          <t>06:30:00</t>
        </is>
      </c>
      <c r="G46" s="30" t="inlineStr">
        <is>
          <t>21:30:00</t>
        </is>
      </c>
      <c r="H46" s="192" t="inlineStr">
        <is>
          <t>210</t>
        </is>
      </c>
      <c r="I46" s="193" t="inlineStr">
        <is>
          <t>0</t>
        </is>
      </c>
      <c r="N46" t="inlineStr"/>
      <c r="O46" t="inlineStr"/>
      <c r="P46" t="inlineStr"/>
      <c r="Q46" s="174" t="n">
        <v>0.02083333333333333</v>
      </c>
      <c r="R46" s="174" t="n">
        <v>0.125</v>
      </c>
      <c r="S46" t="n">
        <v>0</v>
      </c>
      <c r="T46" t="inlineStr">
        <is>
          <t>210</t>
        </is>
      </c>
      <c r="U46" t="inlineStr"/>
      <c r="V46" t="inlineStr"/>
    </row>
    <row r="47">
      <c r="A47" s="27" t="inlineStr"/>
      <c r="B47" s="27" t="inlineStr">
        <is>
          <t>Thứ Sáu</t>
        </is>
      </c>
      <c r="C47" s="28" t="inlineStr">
        <is>
          <t>07/11/2025</t>
        </is>
      </c>
      <c r="D47" s="27" t="inlineStr">
        <is>
          <t>Trần Phạm Danh Tánh</t>
        </is>
      </c>
      <c r="E47" s="27" t="inlineStr">
        <is>
          <t>BX-BẠC LIÊU (LƯU ĐÊM)</t>
        </is>
      </c>
      <c r="F47" s="27" t="inlineStr">
        <is>
          <t>04:30:00</t>
        </is>
      </c>
      <c r="G47" s="27" t="inlineStr">
        <is>
          <t>22:00:00</t>
        </is>
      </c>
      <c r="H47" s="156" t="inlineStr">
        <is>
          <t>360</t>
        </is>
      </c>
      <c r="I47" s="156" t="inlineStr">
        <is>
          <t>151792</t>
        </is>
      </c>
      <c r="J47" s="156" t="inlineStr">
        <is>
          <t>152127</t>
        </is>
      </c>
      <c r="K47" s="154" t="inlineStr">
        <is>
          <t>335</t>
        </is>
      </c>
      <c r="L47" s="154" t="inlineStr">
        <is>
          <t>173259</t>
        </is>
      </c>
      <c r="M47" s="154" t="inlineStr">
        <is>
          <t>0</t>
        </is>
      </c>
      <c r="N47" t="inlineStr"/>
      <c r="O47" t="inlineStr"/>
      <c r="P47" t="inlineStr"/>
      <c r="Q47" s="174" t="n">
        <v>0.1041666666666667</v>
      </c>
      <c r="R47" s="174" t="n">
        <v>0.1458333333333333</v>
      </c>
      <c r="S47" t="n">
        <v>0</v>
      </c>
      <c r="T47" t="inlineStr">
        <is>
          <t>360</t>
        </is>
      </c>
      <c r="U47" t="inlineStr"/>
      <c r="V47" t="inlineStr"/>
    </row>
    <row r="48">
      <c r="A48" t="inlineStr"/>
      <c r="B48" t="inlineStr">
        <is>
          <t>Thứ Bảy</t>
        </is>
      </c>
      <c r="C48" s="32" t="inlineStr">
        <is>
          <t>08/11/2025</t>
        </is>
      </c>
      <c r="D48" t="inlineStr">
        <is>
          <t>Trần Phạm Danh Tánh</t>
        </is>
      </c>
      <c r="E48" t="inlineStr">
        <is>
          <t>BẠC LIÊU-BX</t>
        </is>
      </c>
      <c r="F48" t="inlineStr">
        <is>
          <t>06:00:00</t>
        </is>
      </c>
      <c r="G48" t="inlineStr">
        <is>
          <t>17:30:00</t>
        </is>
      </c>
      <c r="H48" t="inlineStr">
        <is>
          <t>60</t>
        </is>
      </c>
      <c r="I48" t="inlineStr">
        <is>
          <t>152127</t>
        </is>
      </c>
      <c r="J48" t="inlineStr">
        <is>
          <t>152442</t>
        </is>
      </c>
      <c r="K48" t="inlineStr">
        <is>
          <t>315</t>
        </is>
      </c>
      <c r="L48" t="inlineStr">
        <is>
          <t>216119</t>
        </is>
      </c>
      <c r="M48" t="inlineStr">
        <is>
          <t>0</t>
        </is>
      </c>
      <c r="N48" t="inlineStr"/>
      <c r="O48" t="inlineStr"/>
      <c r="P48" t="inlineStr"/>
      <c r="Q48" s="174" t="n">
        <v>0.04166666666666666</v>
      </c>
      <c r="R48" s="174" t="n">
        <v>0</v>
      </c>
      <c r="S48" t="n">
        <v>0</v>
      </c>
      <c r="T48" t="inlineStr">
        <is>
          <t>60</t>
        </is>
      </c>
      <c r="U48" t="inlineStr"/>
      <c r="V48" t="inlineStr"/>
    </row>
    <row r="49">
      <c r="A49" t="inlineStr"/>
      <c r="B49" t="inlineStr">
        <is>
          <t>Thứ Hai</t>
        </is>
      </c>
      <c r="C49" s="32" t="inlineStr">
        <is>
          <t>10/11/2025</t>
        </is>
      </c>
      <c r="D49" t="inlineStr">
        <is>
          <t>Trần Phạm Danh Tánh</t>
        </is>
      </c>
      <c r="E49" t="inlineStr">
        <is>
          <t>BX-VP-FUSIKURA-BIÊN HÒA-BX</t>
        </is>
      </c>
      <c r="F49" t="inlineStr">
        <is>
          <t>05:50:00</t>
        </is>
      </c>
      <c r="G49" t="inlineStr">
        <is>
          <t>19:30:00</t>
        </is>
      </c>
      <c r="H49" t="inlineStr">
        <is>
          <t>130</t>
        </is>
      </c>
      <c r="I49" t="inlineStr">
        <is>
          <t>152442</t>
        </is>
      </c>
      <c r="J49" t="inlineStr">
        <is>
          <t>152515</t>
        </is>
      </c>
      <c r="K49" t="inlineStr">
        <is>
          <t>73</t>
        </is>
      </c>
      <c r="L49" t="inlineStr">
        <is>
          <t>0</t>
        </is>
      </c>
      <c r="M49" t="inlineStr">
        <is>
          <t>0</t>
        </is>
      </c>
      <c r="N49" t="inlineStr"/>
      <c r="O49" t="inlineStr"/>
      <c r="P49" t="inlineStr"/>
      <c r="Q49" s="174" t="n">
        <v>0.04861111111111111</v>
      </c>
      <c r="R49" s="174" t="n">
        <v>0.04166666666666666</v>
      </c>
      <c r="S49" t="n">
        <v>0</v>
      </c>
      <c r="T49" t="inlineStr">
        <is>
          <t>130</t>
        </is>
      </c>
      <c r="U49" t="inlineStr"/>
      <c r="V49" t="inlineStr"/>
    </row>
    <row r="50">
      <c r="A50" t="inlineStr"/>
      <c r="B50" t="inlineStr">
        <is>
          <t>Thứ Ba</t>
        </is>
      </c>
      <c r="C50" s="32" t="inlineStr">
        <is>
          <t>11/11/2025</t>
        </is>
      </c>
      <c r="D50" t="inlineStr">
        <is>
          <t>Trần Phạm Danh Tánh</t>
        </is>
      </c>
      <c r="E50" t="inlineStr">
        <is>
          <t>BX-VP-MỸ PHƯỚC-VP-PAT-VP-BX</t>
        </is>
      </c>
      <c r="F50" t="inlineStr">
        <is>
          <t>07:30:00</t>
        </is>
      </c>
      <c r="G50" t="inlineStr">
        <is>
          <t>19:30:00</t>
        </is>
      </c>
      <c r="H50" t="inlineStr">
        <is>
          <t>60</t>
        </is>
      </c>
      <c r="I50" t="inlineStr">
        <is>
          <t>152515</t>
        </is>
      </c>
      <c r="J50" t="inlineStr">
        <is>
          <t>152737</t>
        </is>
      </c>
      <c r="K50" t="inlineStr">
        <is>
          <t>222</t>
        </is>
      </c>
      <c r="L50" t="inlineStr">
        <is>
          <t>115908</t>
        </is>
      </c>
      <c r="M50" t="inlineStr">
        <is>
          <t>0</t>
        </is>
      </c>
      <c r="N50" t="inlineStr"/>
      <c r="O50" t="inlineStr"/>
      <c r="P50" t="inlineStr"/>
      <c r="Q50" s="174" t="n">
        <v>0</v>
      </c>
      <c r="R50" s="174" t="n">
        <v>0.04166666666666666</v>
      </c>
      <c r="S50" t="n">
        <v>0</v>
      </c>
      <c r="T50" t="inlineStr">
        <is>
          <t>60</t>
        </is>
      </c>
      <c r="U50" t="inlineStr"/>
      <c r="V50" t="inlineStr"/>
    </row>
    <row r="51">
      <c r="A51" t="inlineStr"/>
      <c r="B51" t="inlineStr">
        <is>
          <t>Thứ Tư</t>
        </is>
      </c>
      <c r="C51" s="32" t="inlineStr">
        <is>
          <t>12/11/2025</t>
        </is>
      </c>
      <c r="D51" t="inlineStr">
        <is>
          <t>Trần Phạm Danh Tánh</t>
        </is>
      </c>
      <c r="E51" t="inlineStr">
        <is>
          <t>BX-VP-HANACANS-VP-BX</t>
        </is>
      </c>
      <c r="F51" t="inlineStr">
        <is>
          <t>05:00:00</t>
        </is>
      </c>
      <c r="G51" t="inlineStr">
        <is>
          <t>21:00:00</t>
        </is>
      </c>
      <c r="H51" t="inlineStr">
        <is>
          <t>270</t>
        </is>
      </c>
      <c r="I51" t="inlineStr">
        <is>
          <t>152737</t>
        </is>
      </c>
      <c r="J51" t="inlineStr">
        <is>
          <t>152894</t>
        </is>
      </c>
      <c r="K51" t="inlineStr">
        <is>
          <t>157</t>
        </is>
      </c>
      <c r="L51" t="inlineStr"/>
      <c r="M51" t="inlineStr">
        <is>
          <t>0</t>
        </is>
      </c>
      <c r="N51" t="inlineStr"/>
      <c r="O51" t="inlineStr"/>
      <c r="P51" t="inlineStr"/>
      <c r="Q51" s="174" t="n">
        <v>0.08333333333333333</v>
      </c>
      <c r="R51" s="174" t="n">
        <v>0.1041666666666667</v>
      </c>
      <c r="S51" t="n">
        <v>0</v>
      </c>
      <c r="T51" t="inlineStr">
        <is>
          <t>270</t>
        </is>
      </c>
      <c r="U51" t="inlineStr"/>
      <c r="V51" t="inlineStr"/>
    </row>
    <row r="52">
      <c r="A52" t="inlineStr"/>
      <c r="B52" t="inlineStr">
        <is>
          <t>Thứ Năm</t>
        </is>
      </c>
      <c r="C52" s="32" t="inlineStr">
        <is>
          <t>13/11/2025</t>
        </is>
      </c>
      <c r="D52" t="inlineStr">
        <is>
          <t>Trần Phạm Danh Tánh</t>
        </is>
      </c>
      <c r="E52" t="inlineStr">
        <is>
          <t>BX-VP-AKARAWA-VP-BX</t>
        </is>
      </c>
      <c r="F52" t="inlineStr">
        <is>
          <t>07:30:00</t>
        </is>
      </c>
      <c r="G52" t="inlineStr">
        <is>
          <t>19:30:00</t>
        </is>
      </c>
      <c r="H52" t="inlineStr">
        <is>
          <t>60</t>
        </is>
      </c>
      <c r="I52" t="inlineStr">
        <is>
          <t>152894</t>
        </is>
      </c>
      <c r="J52" t="inlineStr">
        <is>
          <t>153105</t>
        </is>
      </c>
      <c r="K52" t="inlineStr">
        <is>
          <t>211</t>
        </is>
      </c>
      <c r="L52" t="inlineStr">
        <is>
          <t>22643</t>
        </is>
      </c>
      <c r="M52" t="inlineStr">
        <is>
          <t>0</t>
        </is>
      </c>
      <c r="N52" t="inlineStr"/>
      <c r="O52" t="inlineStr"/>
      <c r="P52" t="inlineStr"/>
      <c r="Q52" s="174" t="n">
        <v>0</v>
      </c>
      <c r="R52" s="174" t="n">
        <v>0.04166666666666666</v>
      </c>
      <c r="S52" t="n">
        <v>0</v>
      </c>
      <c r="T52" t="inlineStr">
        <is>
          <t>60</t>
        </is>
      </c>
      <c r="U52" t="inlineStr"/>
      <c r="V52" t="inlineStr"/>
    </row>
    <row r="53">
      <c r="A53" t="inlineStr"/>
      <c r="B53" t="inlineStr">
        <is>
          <t>Thứ Sáu</t>
        </is>
      </c>
      <c r="C53" s="32" t="inlineStr">
        <is>
          <t>14/11/2025</t>
        </is>
      </c>
      <c r="D53" t="inlineStr">
        <is>
          <t>Trần Phạm Danh Tánh</t>
        </is>
      </c>
      <c r="E53" t="inlineStr">
        <is>
          <t>BX-AN PHÚ-FURSIKIRA-BIÊN HÒA-BX</t>
        </is>
      </c>
      <c r="F53" t="inlineStr">
        <is>
          <t>05:30:00</t>
        </is>
      </c>
      <c r="G53" t="inlineStr">
        <is>
          <t>19:30:00</t>
        </is>
      </c>
      <c r="H53" t="inlineStr">
        <is>
          <t>150</t>
        </is>
      </c>
      <c r="I53" s="194" t="inlineStr">
        <is>
          <t>0</t>
        </is>
      </c>
      <c r="N53" t="inlineStr"/>
      <c r="O53" t="inlineStr"/>
      <c r="P53" t="inlineStr"/>
      <c r="Q53" s="174" t="n">
        <v>0.0625</v>
      </c>
      <c r="R53" s="174" t="n">
        <v>0.04166666666666666</v>
      </c>
      <c r="S53" t="n">
        <v>0</v>
      </c>
      <c r="T53" t="inlineStr">
        <is>
          <t>150</t>
        </is>
      </c>
      <c r="U53" t="inlineStr"/>
      <c r="V53" t="inlineStr"/>
    </row>
    <row r="54">
      <c r="A54" t="inlineStr"/>
      <c r="B54" t="inlineStr">
        <is>
          <t>Thứ Hai</t>
        </is>
      </c>
      <c r="C54" s="32" t="inlineStr">
        <is>
          <t>17/11/2025</t>
        </is>
      </c>
      <c r="D54" t="inlineStr">
        <is>
          <t>Trần Phạm Danh Tánh</t>
        </is>
      </c>
      <c r="E54" t="inlineStr">
        <is>
          <t>BX-VP-MỸ PHƯỚC-VP-BÌNH LONG-VPBX</t>
        </is>
      </c>
      <c r="F54" t="inlineStr">
        <is>
          <t>07:30:00</t>
        </is>
      </c>
      <c r="G54" t="inlineStr">
        <is>
          <t>18:00:00</t>
        </is>
      </c>
      <c r="H54" t="inlineStr">
        <is>
          <t>0</t>
        </is>
      </c>
      <c r="I54" t="inlineStr">
        <is>
          <t>153190</t>
        </is>
      </c>
      <c r="J54" t="inlineStr">
        <is>
          <t>153326</t>
        </is>
      </c>
      <c r="K54" t="inlineStr">
        <is>
          <t>136</t>
        </is>
      </c>
      <c r="L54" t="inlineStr">
        <is>
          <t>14727</t>
        </is>
      </c>
      <c r="M54" t="inlineStr">
        <is>
          <t>0</t>
        </is>
      </c>
      <c r="N54" t="inlineStr"/>
      <c r="O54" t="inlineStr"/>
      <c r="P54" t="inlineStr"/>
      <c r="Q54" s="174" t="n">
        <v>0</v>
      </c>
      <c r="R54" s="174" t="n">
        <v>0</v>
      </c>
      <c r="S54" t="n">
        <v>0</v>
      </c>
      <c r="T54" t="inlineStr">
        <is>
          <t>0</t>
        </is>
      </c>
      <c r="U54" t="inlineStr"/>
      <c r="V54" t="inlineStr"/>
    </row>
    <row r="55">
      <c r="A55" t="inlineStr"/>
      <c r="B55" t="inlineStr">
        <is>
          <t>Thứ Ba</t>
        </is>
      </c>
      <c r="C55" s="32" t="inlineStr">
        <is>
          <t>18/11/2025</t>
        </is>
      </c>
      <c r="D55" t="inlineStr">
        <is>
          <t>Trần Phạm Danh Tánh</t>
        </is>
      </c>
      <c r="E55" t="inlineStr">
        <is>
          <t>BX-VP-TÂN PHÚ-VP-BX</t>
        </is>
      </c>
      <c r="F55" t="inlineStr">
        <is>
          <t>06:30:00</t>
        </is>
      </c>
      <c r="G55" t="inlineStr">
        <is>
          <t>18:30:00</t>
        </is>
      </c>
      <c r="H55" t="inlineStr">
        <is>
          <t>30</t>
        </is>
      </c>
      <c r="I55" t="inlineStr">
        <is>
          <t>153326</t>
        </is>
      </c>
      <c r="J55" t="inlineStr">
        <is>
          <t>153426</t>
        </is>
      </c>
      <c r="K55" t="inlineStr">
        <is>
          <t>100</t>
        </is>
      </c>
      <c r="L55" t="inlineStr">
        <is>
          <t>44181</t>
        </is>
      </c>
      <c r="M55" t="inlineStr">
        <is>
          <t>0</t>
        </is>
      </c>
      <c r="N55" t="inlineStr"/>
      <c r="O55" t="inlineStr"/>
      <c r="P55" t="inlineStr"/>
      <c r="Q55" s="174" t="n">
        <v>0.02083333333333333</v>
      </c>
      <c r="R55" s="174" t="n">
        <v>0</v>
      </c>
      <c r="S55" t="n">
        <v>0</v>
      </c>
      <c r="T55" t="inlineStr">
        <is>
          <t>30</t>
        </is>
      </c>
      <c r="U55" t="inlineStr"/>
      <c r="V55" t="inlineStr"/>
    </row>
    <row r="56">
      <c r="A56" t="inlineStr"/>
      <c r="B56" t="inlineStr">
        <is>
          <t>Thứ Tư</t>
        </is>
      </c>
      <c r="C56" s="32" t="inlineStr">
        <is>
          <t>19/11/2025</t>
        </is>
      </c>
      <c r="D56" t="inlineStr">
        <is>
          <t>Trần Phạm Danh Tánh</t>
        </is>
      </c>
      <c r="E56" t="inlineStr">
        <is>
          <t>BX-VP-HAVA-VP-BX</t>
        </is>
      </c>
      <c r="F56" t="inlineStr">
        <is>
          <t>05:30:00</t>
        </is>
      </c>
      <c r="G56" t="inlineStr">
        <is>
          <t>21:00:00</t>
        </is>
      </c>
      <c r="H56" t="inlineStr">
        <is>
          <t>240</t>
        </is>
      </c>
      <c r="I56" t="inlineStr">
        <is>
          <t>153426</t>
        </is>
      </c>
      <c r="J56" t="inlineStr">
        <is>
          <t>153617</t>
        </is>
      </c>
      <c r="K56" t="inlineStr">
        <is>
          <t>191</t>
        </is>
      </c>
      <c r="L56" t="inlineStr">
        <is>
          <t>22643</t>
        </is>
      </c>
      <c r="M56" t="inlineStr">
        <is>
          <t>0</t>
        </is>
      </c>
      <c r="N56" t="inlineStr"/>
      <c r="O56" t="inlineStr"/>
      <c r="P56" t="inlineStr"/>
      <c r="Q56" s="174" t="n">
        <v>0.0625</v>
      </c>
      <c r="R56" s="174" t="n">
        <v>0.1041666666666667</v>
      </c>
      <c r="S56" t="n">
        <v>0</v>
      </c>
      <c r="T56" t="inlineStr">
        <is>
          <t>240</t>
        </is>
      </c>
      <c r="U56" t="inlineStr"/>
      <c r="V56" t="inlineStr"/>
    </row>
    <row r="57">
      <c r="A57" t="inlineStr"/>
      <c r="B57" t="inlineStr">
        <is>
          <t>Thứ Năm</t>
        </is>
      </c>
      <c r="C57" s="32" t="inlineStr">
        <is>
          <t>20/11/2025</t>
        </is>
      </c>
      <c r="D57" t="inlineStr">
        <is>
          <t>Trần Phạm Danh Tánh</t>
        </is>
      </c>
      <c r="E57" t="inlineStr">
        <is>
          <t>BX-VP-ARAKAWA-GV-BX</t>
        </is>
      </c>
      <c r="F57" t="inlineStr">
        <is>
          <t>05:15:00</t>
        </is>
      </c>
      <c r="G57" t="inlineStr">
        <is>
          <t>20:30:00</t>
        </is>
      </c>
      <c r="H57" t="inlineStr">
        <is>
          <t>225</t>
        </is>
      </c>
      <c r="I57" t="inlineStr">
        <is>
          <t>153617</t>
        </is>
      </c>
      <c r="J57" t="inlineStr">
        <is>
          <t>153882</t>
        </is>
      </c>
      <c r="K57" t="inlineStr">
        <is>
          <t>265</t>
        </is>
      </c>
      <c r="L57" t="inlineStr">
        <is>
          <t>24545</t>
        </is>
      </c>
      <c r="M57" t="inlineStr">
        <is>
          <t>0</t>
        </is>
      </c>
      <c r="N57" t="inlineStr"/>
      <c r="O57" t="inlineStr"/>
      <c r="P57" t="inlineStr"/>
      <c r="Q57" s="174" t="n">
        <v>0.07291666666666667</v>
      </c>
      <c r="R57" s="174" t="n">
        <v>0.08333333333333333</v>
      </c>
      <c r="S57" t="n">
        <v>0</v>
      </c>
      <c r="T57" t="inlineStr">
        <is>
          <t>225</t>
        </is>
      </c>
      <c r="U57" t="inlineStr"/>
      <c r="V57" t="inlineStr"/>
    </row>
    <row r="58">
      <c r="A58" t="inlineStr"/>
      <c r="B58" t="inlineStr">
        <is>
          <t>Thứ Sáu</t>
        </is>
      </c>
      <c r="C58" s="32" t="inlineStr">
        <is>
          <t>21/11/2025</t>
        </is>
      </c>
      <c r="D58" t="inlineStr">
        <is>
          <t>Trần Phạm Danh Tánh</t>
        </is>
      </c>
      <c r="E58" t="inlineStr">
        <is>
          <t>BX-VP-ARAKAWA-VP-BX</t>
        </is>
      </c>
      <c r="F58" t="inlineStr">
        <is>
          <t>05:15:00</t>
        </is>
      </c>
      <c r="G58" t="inlineStr">
        <is>
          <t>20:30:00</t>
        </is>
      </c>
      <c r="H58" t="inlineStr">
        <is>
          <t>225</t>
        </is>
      </c>
      <c r="I58" t="inlineStr">
        <is>
          <t>153882</t>
        </is>
      </c>
      <c r="J58" t="inlineStr">
        <is>
          <t>154109</t>
        </is>
      </c>
      <c r="K58" t="inlineStr">
        <is>
          <t>227</t>
        </is>
      </c>
      <c r="L58" t="inlineStr">
        <is>
          <t>87375</t>
        </is>
      </c>
      <c r="M58" t="inlineStr"/>
      <c r="N58" t="inlineStr"/>
      <c r="O58" t="inlineStr"/>
      <c r="P58" t="inlineStr"/>
      <c r="Q58" s="174" t="n">
        <v>0.07291666666666667</v>
      </c>
      <c r="R58" s="174" t="n">
        <v>0.08333333333333333</v>
      </c>
      <c r="S58" t="n">
        <v>0</v>
      </c>
      <c r="T58" t="inlineStr">
        <is>
          <t>225</t>
        </is>
      </c>
      <c r="U58" t="inlineStr"/>
      <c r="V58" t="inlineStr"/>
    </row>
    <row r="59">
      <c r="A59" t="inlineStr"/>
      <c r="B59" t="inlineStr">
        <is>
          <t>Thứ Hai</t>
        </is>
      </c>
      <c r="C59" s="32" t="inlineStr">
        <is>
          <t>24/11/2025</t>
        </is>
      </c>
      <c r="D59" t="inlineStr">
        <is>
          <t>Trần Phạm Danh Tánh</t>
        </is>
      </c>
      <c r="E59" t="inlineStr">
        <is>
          <t>BX-VP-MỸ PHƯỚC-VP-BX</t>
        </is>
      </c>
      <c r="F59" t="inlineStr">
        <is>
          <t>06:30:00</t>
        </is>
      </c>
      <c r="G59" t="inlineStr">
        <is>
          <t>18:00:00</t>
        </is>
      </c>
      <c r="H59" t="inlineStr">
        <is>
          <t>30</t>
        </is>
      </c>
      <c r="I59" t="inlineStr">
        <is>
          <t>154109</t>
        </is>
      </c>
      <c r="J59" t="inlineStr">
        <is>
          <t>154187</t>
        </is>
      </c>
      <c r="K59" t="inlineStr">
        <is>
          <t>78</t>
        </is>
      </c>
      <c r="L59" t="inlineStr">
        <is>
          <t>29454</t>
        </is>
      </c>
      <c r="M59" t="inlineStr"/>
      <c r="N59" t="inlineStr"/>
      <c r="O59" t="inlineStr"/>
      <c r="P59" t="inlineStr"/>
      <c r="Q59" s="174" t="n">
        <v>0.02083333333333333</v>
      </c>
      <c r="R59" s="174" t="n">
        <v>0</v>
      </c>
      <c r="S59" t="n">
        <v>0</v>
      </c>
      <c r="T59" t="inlineStr">
        <is>
          <t>30</t>
        </is>
      </c>
      <c r="U59" t="inlineStr"/>
      <c r="V59" t="inlineStr"/>
    </row>
    <row r="60">
      <c r="A60" t="inlineStr"/>
      <c r="B60" t="inlineStr">
        <is>
          <t>Thứ Bảy</t>
        </is>
      </c>
      <c r="C60" s="32" t="inlineStr">
        <is>
          <t>25/10/2025</t>
        </is>
      </c>
      <c r="D60" t="inlineStr">
        <is>
          <t>Trần Phạm Danh Tánh</t>
        </is>
      </c>
      <c r="E60" t="inlineStr">
        <is>
          <t>BX-VP-ANSELL-VP-CT-VP-CT-SÂN BAY-BX</t>
        </is>
      </c>
      <c r="F60" t="inlineStr">
        <is>
          <t>07:30:00</t>
        </is>
      </c>
      <c r="G60" t="inlineStr">
        <is>
          <t>20:30:00</t>
        </is>
      </c>
      <c r="H60" t="inlineStr">
        <is>
          <t>120</t>
        </is>
      </c>
      <c r="I60" t="inlineStr">
        <is>
          <t>154187</t>
        </is>
      </c>
      <c r="J60" t="inlineStr">
        <is>
          <t>154353</t>
        </is>
      </c>
      <c r="K60" t="inlineStr">
        <is>
          <t>166</t>
        </is>
      </c>
      <c r="L60" t="inlineStr">
        <is>
          <t>29454</t>
        </is>
      </c>
      <c r="M60" t="inlineStr"/>
      <c r="N60" t="inlineStr"/>
      <c r="O60" t="inlineStr"/>
      <c r="P60" t="inlineStr"/>
      <c r="Q60" s="174" t="n">
        <v>0</v>
      </c>
      <c r="R60" s="174" t="n">
        <v>0.08333333333333333</v>
      </c>
      <c r="S60" t="n">
        <v>0</v>
      </c>
      <c r="T60" t="inlineStr">
        <is>
          <t>120</t>
        </is>
      </c>
      <c r="U60" t="inlineStr"/>
      <c r="V60" t="inlineStr"/>
    </row>
    <row r="61">
      <c r="C61" s="32" t="n"/>
    </row>
    <row r="62">
      <c r="C62" s="32" t="n"/>
    </row>
    <row r="63">
      <c r="C63" s="32" t="n"/>
    </row>
    <row r="64">
      <c r="C64" s="32" t="n"/>
    </row>
    <row r="65">
      <c r="C65" s="32" t="n"/>
    </row>
    <row r="66">
      <c r="C66" s="32" t="n"/>
    </row>
    <row r="67">
      <c r="C67" s="32" t="n"/>
    </row>
    <row r="68">
      <c r="C68" s="32" t="n"/>
    </row>
    <row r="69">
      <c r="C69" s="32" t="n"/>
    </row>
    <row r="70">
      <c r="C70" s="32" t="n"/>
    </row>
    <row r="71">
      <c r="C71" s="32" t="n"/>
    </row>
    <row r="72">
      <c r="C72" s="32" t="n"/>
    </row>
    <row r="73">
      <c r="C73" s="32" t="n"/>
    </row>
    <row r="74">
      <c r="C74" s="32" t="n"/>
    </row>
    <row r="75">
      <c r="C75" s="32" t="n"/>
    </row>
    <row r="76">
      <c r="C76" s="32" t="n"/>
    </row>
    <row r="77">
      <c r="C77" s="32" t="n"/>
    </row>
    <row r="78">
      <c r="C78" s="32" t="n"/>
    </row>
    <row r="79">
      <c r="C79" s="32" t="n"/>
    </row>
    <row r="80">
      <c r="C80" s="32" t="n"/>
    </row>
    <row r="81">
      <c r="C81" s="32" t="n"/>
    </row>
    <row r="82">
      <c r="C82" s="32" t="n"/>
    </row>
  </sheetData>
  <autoFilter ref="A8:M44"/>
  <mergeCells count="20">
    <mergeCell ref="C34:J34"/>
    <mergeCell ref="A5:M5"/>
    <mergeCell ref="A41:L41"/>
    <mergeCell ref="I46:M46"/>
    <mergeCell ref="A1:E1"/>
    <mergeCell ref="C35:J35"/>
    <mergeCell ref="A42:L42"/>
    <mergeCell ref="A46:E46"/>
    <mergeCell ref="C44:M44"/>
    <mergeCell ref="I53:M53"/>
    <mergeCell ref="C40:J40"/>
    <mergeCell ref="A3:E3"/>
    <mergeCell ref="A43:L43"/>
    <mergeCell ref="A2:E2"/>
    <mergeCell ref="A6:M6"/>
    <mergeCell ref="C36:J36"/>
    <mergeCell ref="C39:J39"/>
    <mergeCell ref="A4:E4"/>
    <mergeCell ref="C38:J38"/>
    <mergeCell ref="C37:J37"/>
  </mergeCells>
  <pageMargins left="0.7" right="0.7" top="0.75" bottom="0.75" header="0.3" footer="0.3"/>
  <pageSetup orientation="portrait" paperSize="9" scale="58" fitToHeight="0"/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V84"/>
  <sheetViews>
    <sheetView tabSelected="1" topLeftCell="A14" workbookViewId="0">
      <selection activeCell="E19" sqref="E19"/>
    </sheetView>
  </sheetViews>
  <sheetFormatPr baseColWidth="8" defaultColWidth="9.109375" defaultRowHeight="15.6"/>
  <cols>
    <col width="8.33203125" customWidth="1" style="5" min="1" max="1"/>
    <col width="12.5546875" customWidth="1" style="5" min="2" max="2"/>
    <col width="12" bestFit="1" customWidth="1" style="5" min="3" max="3"/>
    <col width="19" customWidth="1" style="5" min="4" max="4"/>
    <col width="48" customWidth="1" style="5" min="5" max="5"/>
    <col width="7" customWidth="1" style="5" min="6" max="6"/>
    <col width="7.5546875" customWidth="1" style="5" min="7" max="7"/>
    <col width="7.109375" customWidth="1" style="154" min="8" max="8"/>
    <col width="9.109375" customWidth="1" style="154" min="9" max="9"/>
    <col width="9" customWidth="1" style="154" min="10" max="10"/>
    <col width="9.109375" customWidth="1" style="154" min="11" max="11"/>
    <col width="15.44140625" bestFit="1" customWidth="1" style="154" min="12" max="12"/>
    <col width="14" customWidth="1" style="154" min="13" max="13"/>
    <col width="9.109375" customWidth="1" style="5" min="14" max="16"/>
    <col width="6.44140625" customWidth="1" style="5" min="17" max="17"/>
    <col width="9.109375" customWidth="1" style="5" min="18" max="16384"/>
  </cols>
  <sheetData>
    <row r="1">
      <c r="A1" s="108" t="inlineStr">
        <is>
          <t>CÔNG TY TNHH DỊCH VỤ DU LỊCH XUÂN THẢO</t>
        </is>
      </c>
      <c r="F1" s="2" t="n"/>
      <c r="G1" s="2" t="n"/>
      <c r="H1" s="155" t="n"/>
      <c r="I1" s="155" t="n"/>
      <c r="J1" s="155" t="n"/>
      <c r="K1" s="156" t="n"/>
      <c r="L1" s="195" t="inlineStr">
        <is>
          <t>Time</t>
        </is>
      </c>
      <c r="M1" s="196" t="inlineStr">
        <is>
          <t>7h00-18h30</t>
        </is>
      </c>
    </row>
    <row r="2">
      <c r="A2" s="108" t="inlineStr">
        <is>
          <t xml:space="preserve">MST: 0315250973   Email: dulichxuanthao2018@gmail.com   </t>
        </is>
      </c>
      <c r="F2" s="6" t="n"/>
      <c r="G2" s="6" t="n"/>
      <c r="H2" s="159" t="n"/>
      <c r="I2" s="159" t="n"/>
      <c r="J2" s="159" t="n"/>
      <c r="K2" s="156" t="n"/>
      <c r="L2" s="195" t="inlineStr">
        <is>
          <t>KM</t>
        </is>
      </c>
      <c r="M2" s="197" t="n">
        <v>7000</v>
      </c>
    </row>
    <row r="3">
      <c r="A3" s="108" t="inlineStr">
        <is>
          <t>ĐỊA CHỈ: Số 7 Đường số 3, Phường Tân Phú, Quận 7, Tp.HCM</t>
        </is>
      </c>
      <c r="F3" s="6" t="n"/>
      <c r="G3" s="6" t="n"/>
      <c r="H3" s="159" t="n"/>
      <c r="I3" s="159" t="n"/>
      <c r="J3" s="159" t="n"/>
      <c r="K3" s="156" t="n"/>
      <c r="L3" s="195" t="inlineStr">
        <is>
          <t>OVERTIME</t>
        </is>
      </c>
      <c r="M3" s="196" t="n">
        <v>70000</v>
      </c>
    </row>
    <row r="4">
      <c r="A4" s="108" t="inlineStr">
        <is>
          <t xml:space="preserve">ĐT: 0907.173.113 - 081.1717.3113    </t>
        </is>
      </c>
      <c r="F4" s="6" t="n"/>
      <c r="G4" s="6" t="n"/>
      <c r="H4" s="159" t="n"/>
      <c r="I4" s="159" t="n"/>
      <c r="J4" s="159" t="n"/>
      <c r="K4" s="156" t="n"/>
      <c r="L4" s="195" t="inlineStr">
        <is>
          <t>XE 7C</t>
        </is>
      </c>
      <c r="M4" s="198" t="inlineStr">
        <is>
          <t>2.600/23ngày</t>
        </is>
      </c>
    </row>
    <row r="5">
      <c r="A5" s="110" t="inlineStr">
        <is>
          <t>ĐƠN VỊ: CÔNG TY TNHH GOSHU KOHSAN ( VIỆT NAM )</t>
        </is>
      </c>
    </row>
    <row r="6" ht="15.75" customHeight="1">
      <c r="A6" s="112" t="inlineStr">
        <is>
          <t>TỔNG HỢP CHI PHÍ THUÊ XE THÁNG 10 ( từ ngày 26/10/2025 đến 25/11/2025)</t>
        </is>
      </c>
    </row>
    <row r="7" ht="15" customHeight="1">
      <c r="A7" s="8" t="inlineStr">
        <is>
          <t>Biển số xe :</t>
        </is>
      </c>
      <c r="C7" s="9" t="inlineStr">
        <is>
          <t>51K-365.77</t>
        </is>
      </c>
      <c r="D7" s="10" t="n"/>
      <c r="E7" s="10" t="n"/>
      <c r="F7" s="10" t="n"/>
      <c r="G7" s="10" t="n"/>
      <c r="H7" s="162" t="n"/>
      <c r="I7" s="162" t="n"/>
      <c r="J7" s="162" t="n"/>
      <c r="K7" s="162" t="n"/>
      <c r="L7" s="162" t="n"/>
      <c r="M7" s="162" t="n"/>
    </row>
    <row r="8" ht="52.8" customFormat="1" customHeight="1" s="67">
      <c r="A8" s="90" t="inlineStr">
        <is>
          <t>STT</t>
        </is>
      </c>
      <c r="B8" s="90" t="inlineStr">
        <is>
          <t>THỨ</t>
        </is>
      </c>
      <c r="C8" s="91" t="inlineStr">
        <is>
          <t>NGAY</t>
        </is>
      </c>
      <c r="D8" s="90" t="inlineStr">
        <is>
          <t>TÀI XẾ</t>
        </is>
      </c>
      <c r="E8" s="90" t="inlineStr">
        <is>
          <t>ĐỊA ĐIỂM</t>
        </is>
      </c>
      <c r="F8" s="90" t="inlineStr">
        <is>
          <t>THỜI GIAN BẮT ĐẦU</t>
        </is>
      </c>
      <c r="G8" s="90" t="inlineStr">
        <is>
          <t>THỜI GIAN KẾT THÚC</t>
        </is>
      </c>
      <c r="H8" s="199" t="inlineStr">
        <is>
          <t>OVER TIME</t>
        </is>
      </c>
      <c r="I8" s="199" t="inlineStr">
        <is>
          <t>KM BẮT ĐẦU</t>
        </is>
      </c>
      <c r="J8" s="199" t="inlineStr">
        <is>
          <t>KM KẾT THÚC</t>
        </is>
      </c>
      <c r="K8" s="199" t="inlineStr">
        <is>
          <t>KM SỬ DỤNG</t>
        </is>
      </c>
      <c r="L8" s="200" t="inlineStr">
        <is>
          <t>Vé VETC</t>
        </is>
      </c>
      <c r="M8" s="199" t="inlineStr">
        <is>
          <t>Số Lượng</t>
        </is>
      </c>
      <c r="Q8" s="94" t="n">
        <v>0.2916666666666667</v>
      </c>
      <c r="R8" s="94" t="n">
        <v>0.7708333333333334</v>
      </c>
      <c r="S8" s="95" t="n"/>
      <c r="T8" s="96" t="inlineStr">
        <is>
          <t>OT</t>
        </is>
      </c>
    </row>
    <row r="9" ht="21" customHeight="1">
      <c r="A9" s="60" t="n"/>
      <c r="B9" s="60">
        <f>TEXT(C9,"dddd")</f>
        <v/>
      </c>
      <c r="C9" s="61" t="inlineStr">
        <is>
          <t>27/10/2025</t>
        </is>
      </c>
      <c r="D9" s="60" t="inlineStr">
        <is>
          <t>Trần Phạm Danh Tánh</t>
        </is>
      </c>
      <c r="E9" s="143" t="inlineStr">
        <is>
          <t>BX-VP-TÂY NINH-VP-BX</t>
        </is>
      </c>
      <c r="F9" s="63" t="n">
        <v>0.2708333333333333</v>
      </c>
      <c r="G9" s="63" t="n">
        <v>0.8541666666666666</v>
      </c>
      <c r="H9" s="166">
        <f>T9</f>
        <v/>
      </c>
      <c r="I9" s="166" t="n">
        <v>150392</v>
      </c>
      <c r="J9" s="166" t="n">
        <v>150560</v>
      </c>
      <c r="K9" s="166">
        <f>J9-I9</f>
        <v/>
      </c>
      <c r="L9" s="166" t="n">
        <v>19636</v>
      </c>
      <c r="M9" s="166" t="n">
        <v>0</v>
      </c>
      <c r="Q9" s="12">
        <f>IF(F9&lt;$Q$8,$Q$8-F9,0)</f>
        <v/>
      </c>
      <c r="R9" s="12">
        <f>IF(G9&gt;$R$8,G9-$R$8,0)</f>
        <v/>
      </c>
      <c r="S9" s="167">
        <f>(HOUR(Q9)*60+MINUTE(Q9))+(HOUR(R9)*60+MINUTE(R9))-H9</f>
        <v/>
      </c>
      <c r="T9" s="168">
        <f>(HOUR(Q9)*60+MINUTE(Q9))+(HOUR(R9)*60+MINUTE(R9))</f>
        <v/>
      </c>
    </row>
    <row r="10" ht="21" customHeight="1">
      <c r="A10" s="60" t="n"/>
      <c r="B10" s="60">
        <f>TEXT(C10,"dddd")</f>
        <v/>
      </c>
      <c r="C10" s="61" t="inlineStr">
        <is>
          <t>28/10/2025</t>
        </is>
      </c>
      <c r="D10" s="60" t="inlineStr">
        <is>
          <t>Trần Phạm Danh Tánh</t>
        </is>
      </c>
      <c r="E10" s="143" t="inlineStr">
        <is>
          <t>BX-VP-PAT-VP-BX</t>
        </is>
      </c>
      <c r="F10" s="63" t="n">
        <v>0.2708333333333333</v>
      </c>
      <c r="G10" s="63" t="n">
        <v>1</v>
      </c>
      <c r="H10" s="166">
        <f>T10</f>
        <v/>
      </c>
      <c r="I10" s="166" t="n">
        <v>150560</v>
      </c>
      <c r="J10" s="166" t="n">
        <v>150757</v>
      </c>
      <c r="K10" s="166">
        <f>J10-I10</f>
        <v/>
      </c>
      <c r="L10" s="166" t="n">
        <v>71727</v>
      </c>
      <c r="M10" s="166" t="n">
        <v>0</v>
      </c>
      <c r="Q10" s="12">
        <f>IF(F10&lt;$Q$8,$Q$8-F10,0)</f>
        <v/>
      </c>
      <c r="R10" s="12">
        <f>IF(G10&gt;$R$8,G10-$R$8,0)</f>
        <v/>
      </c>
      <c r="S10" s="167">
        <f>(HOUR(Q10)*60+MINUTE(Q10))+(HOUR(R10)*60+MINUTE(R10))-H10</f>
        <v/>
      </c>
      <c r="T10" s="168">
        <f>(HOUR(Q10)*60+MINUTE(Q10))+(HOUR(R10)*60+MINUTE(R10))</f>
        <v/>
      </c>
    </row>
    <row r="11" ht="21" customHeight="1">
      <c r="A11" s="60" t="n"/>
      <c r="B11" s="60">
        <f>TEXT(C11,"dddd")</f>
        <v/>
      </c>
      <c r="C11" s="61" t="inlineStr">
        <is>
          <t>29/10/2025</t>
        </is>
      </c>
      <c r="D11" s="60" t="inlineStr">
        <is>
          <t>Trần Phạm Danh Tánh</t>
        </is>
      </c>
      <c r="E11" s="143" t="inlineStr">
        <is>
          <t>BX-VP-TD91-BX</t>
        </is>
      </c>
      <c r="F11" s="63" t="n">
        <v>0.2708333333333333</v>
      </c>
      <c r="G11" s="63" t="n">
        <v>0.8125</v>
      </c>
      <c r="H11" s="166">
        <f>T11</f>
        <v/>
      </c>
      <c r="I11" s="166" t="n">
        <v>150757</v>
      </c>
      <c r="J11" s="166" t="n">
        <v>150815</v>
      </c>
      <c r="K11" s="166">
        <f>J11-I11</f>
        <v/>
      </c>
      <c r="L11" s="166" t="n">
        <v>44181</v>
      </c>
      <c r="M11" s="166" t="n">
        <v>0</v>
      </c>
      <c r="Q11" s="12">
        <f>IF(F11&lt;$Q$8,$Q$8-F11,0)</f>
        <v/>
      </c>
      <c r="R11" s="12">
        <f>IF(G11&gt;$R$8,G11-$R$8,0)</f>
        <v/>
      </c>
      <c r="S11" s="167">
        <f>(HOUR(Q11)*60+MINUTE(Q11))+(HOUR(R11)*60+MINUTE(R11))-H11</f>
        <v/>
      </c>
      <c r="T11" s="168">
        <f>(HOUR(Q11)*60+MINUTE(Q11))+(HOUR(R11)*60+MINUTE(R11))</f>
        <v/>
      </c>
    </row>
    <row r="12" ht="21" customHeight="1">
      <c r="A12" s="60" t="n"/>
      <c r="B12" s="60">
        <f>TEXT(C12,"dddd")</f>
        <v/>
      </c>
      <c r="C12" s="61" t="inlineStr">
        <is>
          <t>30/10/2025</t>
        </is>
      </c>
      <c r="D12" s="60" t="inlineStr">
        <is>
          <t>Trần Phạm Danh Tánh</t>
        </is>
      </c>
      <c r="E12" s="143" t="inlineStr">
        <is>
          <t>BX-VBT-VP-BÌNH TÂN-VP-BX</t>
        </is>
      </c>
      <c r="F12" s="63" t="n">
        <v>0.25</v>
      </c>
      <c r="G12" s="63" t="n">
        <v>0.7708333333333334</v>
      </c>
      <c r="H12" s="166">
        <f>T12</f>
        <v/>
      </c>
      <c r="I12" s="166" t="n">
        <v>150815</v>
      </c>
      <c r="J12" s="166" t="n">
        <v>150941</v>
      </c>
      <c r="K12" s="166">
        <f>J12-I12</f>
        <v/>
      </c>
      <c r="L12" s="166" t="n">
        <v>72908</v>
      </c>
      <c r="M12" s="166" t="n">
        <v>0</v>
      </c>
      <c r="Q12" s="12">
        <f>IF(F12&lt;$Q$8,$Q$8-F12,0)</f>
        <v/>
      </c>
      <c r="R12" s="12">
        <f>IF(G12&gt;$R$8,G12-$R$8,0)</f>
        <v/>
      </c>
      <c r="S12" s="167">
        <f>(HOUR(Q12)*60+MINUTE(Q12))+(HOUR(R12)*60+MINUTE(R12))-H12</f>
        <v/>
      </c>
      <c r="T12" s="168">
        <f>(HOUR(Q12)*60+MINUTE(Q12))+(HOUR(R12)*60+MINUTE(R12))</f>
        <v/>
      </c>
    </row>
    <row r="13" ht="21" customHeight="1">
      <c r="A13" s="60" t="n"/>
      <c r="B13" s="60">
        <f>TEXT(C13,"dddd")</f>
        <v/>
      </c>
      <c r="C13" s="61" t="inlineStr">
        <is>
          <t>31/10/2025</t>
        </is>
      </c>
      <c r="D13" s="60" t="inlineStr">
        <is>
          <t>Trần Phạm Danh Tánh</t>
        </is>
      </c>
      <c r="E13" s="143" t="inlineStr">
        <is>
          <t>BX-TĐ-HANACANS-BX</t>
        </is>
      </c>
      <c r="F13" s="63" t="n">
        <v>0.25</v>
      </c>
      <c r="G13" s="63" t="n">
        <v>0.7708333333333334</v>
      </c>
      <c r="H13" s="166">
        <f>T13</f>
        <v/>
      </c>
      <c r="I13" s="166" t="n">
        <v>150941</v>
      </c>
      <c r="J13" s="166" t="n">
        <v>151098</v>
      </c>
      <c r="K13" s="166">
        <f>J13-I13</f>
        <v/>
      </c>
      <c r="L13" s="166">
        <f>14727+8797+13846+13846+8797+9818</f>
        <v/>
      </c>
      <c r="M13" s="166" t="n">
        <v>0</v>
      </c>
      <c r="Q13" s="12">
        <f>IF(F13&lt;$Q$8,$Q$8-F13,0)</f>
        <v/>
      </c>
      <c r="R13" s="12">
        <f>IF(G13&gt;$R$8,G13-$R$8,0)</f>
        <v/>
      </c>
      <c r="S13" s="167">
        <f>(HOUR(Q13)*60+MINUTE(Q13))+(HOUR(R13)*60+MINUTE(R13))-H13</f>
        <v/>
      </c>
      <c r="T13" s="168">
        <f>(HOUR(Q13)*60+MINUTE(Q13))+(HOUR(R13)*60+MINUTE(R13))</f>
        <v/>
      </c>
    </row>
    <row r="14" ht="21" customHeight="1">
      <c r="A14" s="60" t="n"/>
      <c r="B14" s="60">
        <f>TEXT(C14,"dddd")</f>
        <v/>
      </c>
      <c r="C14" s="61" t="inlineStr">
        <is>
          <t>01/11/2025</t>
        </is>
      </c>
      <c r="D14" s="60" t="inlineStr">
        <is>
          <t>Trần Phạm Danh Tánh</t>
        </is>
      </c>
      <c r="E14" s="143" t="inlineStr">
        <is>
          <t>BX-VP-TÂN PHÚ-VP-BX</t>
        </is>
      </c>
      <c r="F14" s="63" t="n">
        <v>0.2916666666666667</v>
      </c>
      <c r="G14" s="63" t="n">
        <v>0.75</v>
      </c>
      <c r="H14" s="166">
        <f>T14</f>
        <v/>
      </c>
      <c r="I14" s="166" t="n">
        <v>151098</v>
      </c>
      <c r="J14" s="166" t="n">
        <v>151168</v>
      </c>
      <c r="K14" s="166">
        <f>J14-I14</f>
        <v/>
      </c>
      <c r="L14" s="166" t="n">
        <v>29454</v>
      </c>
      <c r="M14" s="166" t="n">
        <v>0</v>
      </c>
      <c r="Q14" s="12">
        <f>IF(F14&lt;$Q$8,$Q$8-F14,0)</f>
        <v/>
      </c>
      <c r="R14" s="12">
        <f>IF(G14&gt;$R$8,G14-$R$8,0)</f>
        <v/>
      </c>
      <c r="S14" s="167">
        <f>(HOUR(Q14)*60+MINUTE(Q14))+(HOUR(R14)*60+MINUTE(R14))-H14</f>
        <v/>
      </c>
      <c r="T14" s="168">
        <f>(HOUR(Q14)*60+MINUTE(Q14))+(HOUR(R14)*60+MINUTE(R14))</f>
        <v/>
      </c>
    </row>
    <row r="15" ht="21" customHeight="1">
      <c r="A15" s="60" t="n"/>
      <c r="B15" s="60">
        <f>TEXT(C15,"dddd")</f>
        <v/>
      </c>
      <c r="C15" s="61" t="inlineStr">
        <is>
          <t>03/11/2025</t>
        </is>
      </c>
      <c r="D15" s="60" t="inlineStr">
        <is>
          <t>Trần Phạm Danh Tánh</t>
        </is>
      </c>
      <c r="E15" s="143" t="inlineStr">
        <is>
          <t>BX-Q12-HANACANS-VP-DÌN KÝ-BX</t>
        </is>
      </c>
      <c r="F15" s="63" t="n">
        <v>0.2395833333333333</v>
      </c>
      <c r="G15" s="63" t="n">
        <v>0.8333333333333334</v>
      </c>
      <c r="H15" s="166">
        <f>T15</f>
        <v/>
      </c>
      <c r="I15" s="166" t="n">
        <v>151168</v>
      </c>
      <c r="J15" s="166" t="n">
        <v>151350</v>
      </c>
      <c r="K15" s="166">
        <f>J15-I15</f>
        <v/>
      </c>
      <c r="L15" s="166" t="n">
        <v>66824</v>
      </c>
      <c r="M15" s="166" t="n">
        <v>0</v>
      </c>
      <c r="Q15" s="12">
        <f>IF(F15&lt;$Q$8,$Q$8-F15,0)</f>
        <v/>
      </c>
      <c r="R15" s="12">
        <f>IF(G15&gt;$R$8,G15-$R$8,0)</f>
        <v/>
      </c>
      <c r="S15" s="167">
        <f>(HOUR(Q15)*60+MINUTE(Q15))+(HOUR(R15)*60+MINUTE(R15))-H15</f>
        <v/>
      </c>
      <c r="T15" s="168">
        <f>(HOUR(Q15)*60+MINUTE(Q15))+(HOUR(R15)*60+MINUTE(R15))</f>
        <v/>
      </c>
    </row>
    <row r="16" ht="21" customHeight="1">
      <c r="A16" s="60" t="n"/>
      <c r="B16" s="60">
        <f>TEXT(C16,"dddd")</f>
        <v/>
      </c>
      <c r="C16" s="61" t="inlineStr">
        <is>
          <t>04/11/2025</t>
        </is>
      </c>
      <c r="D16" s="60" t="inlineStr">
        <is>
          <t>Trần Phạm Danh Tánh</t>
        </is>
      </c>
      <c r="E16" s="143" t="inlineStr">
        <is>
          <t>BX-DÌN KÝ-VP-MỸ PHƯỚC-VP-DÌN KÝ-BX</t>
        </is>
      </c>
      <c r="F16" s="63" t="n">
        <v>0.2916666666666667</v>
      </c>
      <c r="G16" s="63" t="n">
        <v>0.8541666666666666</v>
      </c>
      <c r="H16" s="166">
        <f>T16</f>
        <v/>
      </c>
      <c r="I16" s="166" t="n">
        <v>151350</v>
      </c>
      <c r="J16" s="166" t="n">
        <v>151458</v>
      </c>
      <c r="K16" s="166">
        <f>J16-I16</f>
        <v/>
      </c>
      <c r="L16" s="166" t="n">
        <v>88362</v>
      </c>
      <c r="M16" s="166" t="n">
        <v>0</v>
      </c>
      <c r="Q16" s="12">
        <f>IF(F16&lt;$Q$8,$Q$8-F16,0)</f>
        <v/>
      </c>
      <c r="R16" s="12">
        <f>IF(G16&gt;$R$8,G16-$R$8,0)</f>
        <v/>
      </c>
      <c r="S16" s="167">
        <f>(HOUR(Q16)*60+MINUTE(Q16))+(HOUR(R16)*60+MINUTE(R16))-H16</f>
        <v/>
      </c>
      <c r="T16" s="168">
        <f>(HOUR(Q16)*60+MINUTE(Q16))+(HOUR(R16)*60+MINUTE(R16))</f>
        <v/>
      </c>
    </row>
    <row r="17" ht="21" customHeight="1">
      <c r="A17" s="60" t="n"/>
      <c r="B17" s="60">
        <f>TEXT(C17,"dddd")</f>
        <v/>
      </c>
      <c r="C17" s="61" t="inlineStr">
        <is>
          <t>05/11/2025</t>
        </is>
      </c>
      <c r="D17" s="60" t="inlineStr">
        <is>
          <t>Trần Phạm Danh Tánh</t>
        </is>
      </c>
      <c r="E17" s="143" t="inlineStr">
        <is>
          <t>BX-VP-HANACANS-VP-BX</t>
        </is>
      </c>
      <c r="F17" s="63" t="n">
        <v>0.25</v>
      </c>
      <c r="G17" s="63" t="n">
        <v>0.875</v>
      </c>
      <c r="H17" s="166">
        <f>T17</f>
        <v/>
      </c>
      <c r="I17" s="166" t="n">
        <v>151458</v>
      </c>
      <c r="J17" s="166" t="n">
        <v>151622</v>
      </c>
      <c r="K17" s="166">
        <f>J17-I17</f>
        <v/>
      </c>
      <c r="L17" s="166" t="n"/>
      <c r="M17" s="166" t="n">
        <v>0</v>
      </c>
      <c r="Q17" s="12">
        <f>IF(F17&lt;$Q$8,$Q$8-F17,0)</f>
        <v/>
      </c>
      <c r="R17" s="12">
        <f>IF(G17&gt;$R$8,G17-$R$8,0)</f>
        <v/>
      </c>
      <c r="S17" s="167">
        <f>(HOUR(Q17)*60+MINUTE(Q17))+(HOUR(R17)*60+MINUTE(R17))-H17</f>
        <v/>
      </c>
      <c r="T17" s="168">
        <f>(HOUR(Q17)*60+MINUTE(Q17))+(HOUR(R17)*60+MINUTE(R17))</f>
        <v/>
      </c>
    </row>
    <row r="18" ht="21" customHeight="1">
      <c r="A18" s="60" t="n"/>
      <c r="B18" s="60">
        <f>TEXT(C18,"dddd")</f>
        <v/>
      </c>
      <c r="C18" s="61" t="inlineStr">
        <is>
          <t>06/11/2025</t>
        </is>
      </c>
      <c r="D18" s="60" t="inlineStr">
        <is>
          <t>Trần Phạm Danh Tánh</t>
        </is>
      </c>
      <c r="E18" s="143" t="inlineStr">
        <is>
          <t>BX-VP-HANACANS-VP-BX</t>
        </is>
      </c>
      <c r="F18" s="63" t="n">
        <v>0.2708333333333333</v>
      </c>
      <c r="G18" s="63" t="n">
        <v>0.8958333333333334</v>
      </c>
      <c r="H18" s="166">
        <f>T18</f>
        <v/>
      </c>
      <c r="I18" s="166" t="n">
        <v>151622</v>
      </c>
      <c r="J18" s="166" t="n">
        <v>151792</v>
      </c>
      <c r="K18" s="166">
        <f>J18-I18</f>
        <v/>
      </c>
      <c r="L18" s="166" t="n">
        <v>22643</v>
      </c>
      <c r="M18" s="166" t="n">
        <v>0</v>
      </c>
      <c r="Q18" s="12">
        <f>IF(F18&lt;$Q$8,$Q$8-F18,0)</f>
        <v/>
      </c>
      <c r="R18" s="12">
        <f>IF(G18&gt;$R$8,G18-$R$8,0)</f>
        <v/>
      </c>
      <c r="S18" s="167">
        <f>(HOUR(Q18)*60+MINUTE(Q18))+(HOUR(R18)*60+MINUTE(R18))-H18</f>
        <v/>
      </c>
      <c r="T18" s="168">
        <f>(HOUR(Q18)*60+MINUTE(Q18))+(HOUR(R18)*60+MINUTE(R18))</f>
        <v/>
      </c>
    </row>
    <row r="19" ht="21" customHeight="1">
      <c r="A19" s="97" t="n"/>
      <c r="B19" s="97">
        <f>TEXT(C19,"dddd")</f>
        <v/>
      </c>
      <c r="C19" s="98" t="inlineStr">
        <is>
          <t>07/11/2025</t>
        </is>
      </c>
      <c r="D19" s="97" t="inlineStr">
        <is>
          <t>Trần Phạm Danh Tánh</t>
        </is>
      </c>
      <c r="E19" s="101" t="inlineStr">
        <is>
          <t>BX-BẠC LIÊU (LƯU ĐÊM)</t>
        </is>
      </c>
      <c r="F19" s="99" t="n">
        <v>0.1875</v>
      </c>
      <c r="G19" s="99" t="n">
        <v>0.9166666666666666</v>
      </c>
      <c r="H19" s="201">
        <f>T19</f>
        <v/>
      </c>
      <c r="I19" s="201" t="n">
        <v>151792</v>
      </c>
      <c r="J19" s="201" t="n">
        <v>152127</v>
      </c>
      <c r="K19" s="201">
        <f>J19-I19</f>
        <v/>
      </c>
      <c r="L19" s="201" t="n">
        <v>173259</v>
      </c>
      <c r="M19" s="201" t="n">
        <v>0</v>
      </c>
      <c r="Q19" s="12">
        <f>IF(F19&lt;$Q$8,$Q$8-F19,0)</f>
        <v/>
      </c>
      <c r="R19" s="12">
        <f>IF(G19&gt;$R$8,G19-$R$8,0)</f>
        <v/>
      </c>
      <c r="S19" s="167">
        <f>(HOUR(Q19)*60+MINUTE(Q19))+(HOUR(R19)*60+MINUTE(R19))-H19</f>
        <v/>
      </c>
      <c r="T19" s="168">
        <f>(HOUR(Q19)*60+MINUTE(Q19))+(HOUR(R19)*60+MINUTE(R19))</f>
        <v/>
      </c>
    </row>
    <row r="20" ht="21" customFormat="1" customHeight="1" s="34">
      <c r="A20" s="68" t="n"/>
      <c r="B20" s="68">
        <f>TEXT(C20,"dddd")</f>
        <v/>
      </c>
      <c r="C20" s="69" t="inlineStr">
        <is>
          <t>08/11/2025</t>
        </is>
      </c>
      <c r="D20" s="68" t="inlineStr">
        <is>
          <t>Trần Phạm Danh Tánh</t>
        </is>
      </c>
      <c r="E20" s="150" t="inlineStr">
        <is>
          <t>BẠC LIÊU-BX</t>
        </is>
      </c>
      <c r="F20" s="70" t="n">
        <v>0.25</v>
      </c>
      <c r="G20" s="70" t="n">
        <v>0.7291666666666666</v>
      </c>
      <c r="H20" s="202">
        <f>T20</f>
        <v/>
      </c>
      <c r="I20" s="202" t="n">
        <v>152127</v>
      </c>
      <c r="J20" s="202" t="n">
        <v>152442</v>
      </c>
      <c r="K20" s="202">
        <f>J20-I20</f>
        <v/>
      </c>
      <c r="L20" s="202" t="n">
        <v>216119</v>
      </c>
      <c r="M20" s="202" t="n">
        <v>0</v>
      </c>
      <c r="Q20" s="35">
        <f>IF(F20&lt;$Q$8,$Q$8-F20,0)</f>
        <v/>
      </c>
      <c r="R20" s="35">
        <f>IF(G20&gt;$R$8,G20-$R$8,0)</f>
        <v/>
      </c>
      <c r="S20" s="203">
        <f>(HOUR(Q20)*60+MINUTE(Q20))+(HOUR(R20)*60+MINUTE(R20))-H20</f>
        <v/>
      </c>
      <c r="T20" s="204">
        <f>(HOUR(Q20)*60+MINUTE(Q20))+(HOUR(R20)*60+MINUTE(R20))</f>
        <v/>
      </c>
    </row>
    <row r="21" ht="21" customHeight="1">
      <c r="A21" s="60" t="n"/>
      <c r="B21" s="60">
        <f>TEXT(C21,"dddd")</f>
        <v/>
      </c>
      <c r="C21" s="61" t="inlineStr">
        <is>
          <t>10/11/2025</t>
        </is>
      </c>
      <c r="D21" s="60" t="inlineStr">
        <is>
          <t>Trần Phạm Danh Tánh</t>
        </is>
      </c>
      <c r="E21" s="143" t="inlineStr">
        <is>
          <t>BX-VP-FUSIKURA-BIÊN HÒA-BX</t>
        </is>
      </c>
      <c r="F21" s="63" t="n">
        <v>0.2430555555555556</v>
      </c>
      <c r="G21" s="63" t="n">
        <v>0.8125</v>
      </c>
      <c r="H21" s="166">
        <f>T21</f>
        <v/>
      </c>
      <c r="I21" s="166" t="n">
        <v>152442</v>
      </c>
      <c r="J21" s="166" t="n">
        <v>152515</v>
      </c>
      <c r="K21" s="166">
        <f>J21-I21</f>
        <v/>
      </c>
      <c r="L21" s="166" t="n">
        <v>0</v>
      </c>
      <c r="M21" s="166" t="n">
        <v>0</v>
      </c>
      <c r="Q21" s="12">
        <f>IF(F21&lt;$Q$8,$Q$8-F21,0)</f>
        <v/>
      </c>
      <c r="R21" s="12">
        <f>IF(G21&gt;$R$8,G21-$R$8,0)</f>
        <v/>
      </c>
      <c r="S21" s="167">
        <f>(HOUR(Q21)*60+MINUTE(Q21))+(HOUR(R21)*60+MINUTE(R21))-H21</f>
        <v/>
      </c>
      <c r="T21" s="168">
        <f>(HOUR(Q21)*60+MINUTE(Q21))+(HOUR(R21)*60+MINUTE(R21))</f>
        <v/>
      </c>
    </row>
    <row r="22" ht="21" customHeight="1">
      <c r="A22" s="60" t="n"/>
      <c r="B22" s="60">
        <f>TEXT(C22,"dddd")</f>
        <v/>
      </c>
      <c r="C22" s="61" t="inlineStr">
        <is>
          <t>11/11/2025</t>
        </is>
      </c>
      <c r="D22" s="60" t="inlineStr">
        <is>
          <t>Trần Phạm Danh Tánh</t>
        </is>
      </c>
      <c r="E22" s="143" t="inlineStr">
        <is>
          <t>BX-VP-MỸ PHƯỚC-VP-PAT-VP-BX</t>
        </is>
      </c>
      <c r="F22" s="63" t="n">
        <v>0.3125</v>
      </c>
      <c r="G22" s="63" t="n">
        <v>0.8125</v>
      </c>
      <c r="H22" s="166">
        <f>T22</f>
        <v/>
      </c>
      <c r="I22" s="166" t="n">
        <v>152515</v>
      </c>
      <c r="J22" s="166" t="n">
        <v>152737</v>
      </c>
      <c r="K22" s="166">
        <f>J22-I22</f>
        <v/>
      </c>
      <c r="L22" s="165" t="n">
        <v>115908</v>
      </c>
      <c r="M22" s="166" t="n">
        <v>0</v>
      </c>
      <c r="Q22" s="12">
        <f>IF(F22&lt;$Q$8,$Q$8-F22,0)</f>
        <v/>
      </c>
      <c r="R22" s="12">
        <f>IF(G22&gt;$R$8,G22-$R$8,0)</f>
        <v/>
      </c>
      <c r="S22" s="167">
        <f>(HOUR(Q22)*60+MINUTE(Q22))+(HOUR(R22)*60+MINUTE(R22))-H22</f>
        <v/>
      </c>
      <c r="T22" s="168">
        <f>(HOUR(Q22)*60+MINUTE(Q22))+(HOUR(R22)*60+MINUTE(R22))</f>
        <v/>
      </c>
    </row>
    <row r="23" ht="21" customHeight="1">
      <c r="A23" s="146" t="n"/>
      <c r="B23" s="146">
        <f>TEXT(C23,"dddd")</f>
        <v/>
      </c>
      <c r="C23" s="147" t="inlineStr">
        <is>
          <t>12/11/2025</t>
        </is>
      </c>
      <c r="D23" s="146" t="inlineStr">
        <is>
          <t>Trần Phạm Danh Tánh</t>
        </is>
      </c>
      <c r="E23" s="145" t="inlineStr">
        <is>
          <t>BX-VP-HANACANS-VP-BX</t>
        </is>
      </c>
      <c r="F23" s="148" t="n">
        <v>0.2083333333333333</v>
      </c>
      <c r="G23" s="148" t="n">
        <v>0.875</v>
      </c>
      <c r="H23" s="205">
        <f>T23</f>
        <v/>
      </c>
      <c r="I23" s="205" t="n">
        <v>152737</v>
      </c>
      <c r="J23" s="205" t="n">
        <v>152894</v>
      </c>
      <c r="K23" s="205">
        <f>J23-I23</f>
        <v/>
      </c>
      <c r="L23" s="205" t="n"/>
      <c r="M23" s="205" t="n">
        <v>0</v>
      </c>
      <c r="Q23" s="12">
        <f>IF(F23&lt;$Q$8,$Q$8-F23,0)</f>
        <v/>
      </c>
      <c r="R23" s="12">
        <f>IF(G23&gt;$R$8,G23-$R$8,0)</f>
        <v/>
      </c>
      <c r="S23" s="167">
        <f>(HOUR(Q23)*60+MINUTE(Q23))+(HOUR(R23)*60+MINUTE(R23))-H23</f>
        <v/>
      </c>
      <c r="T23" s="168">
        <f>(HOUR(Q23)*60+MINUTE(Q23))+(HOUR(R23)*60+MINUTE(R23))</f>
        <v/>
      </c>
    </row>
    <row r="24" ht="21" customHeight="1">
      <c r="A24" s="60" t="n"/>
      <c r="B24" s="60">
        <f>TEXT(C24,"dddd")</f>
        <v/>
      </c>
      <c r="C24" s="61" t="inlineStr">
        <is>
          <t>13/11/2025</t>
        </is>
      </c>
      <c r="D24" s="60" t="inlineStr">
        <is>
          <t>Trần Phạm Danh Tánh</t>
        </is>
      </c>
      <c r="E24" s="143" t="inlineStr">
        <is>
          <t>BX-VP-AKARAWA-VP-BX</t>
        </is>
      </c>
      <c r="F24" s="63" t="n">
        <v>0.3125</v>
      </c>
      <c r="G24" s="63" t="n">
        <v>0.8125</v>
      </c>
      <c r="H24" s="166">
        <f>T24</f>
        <v/>
      </c>
      <c r="I24" s="205" t="n">
        <v>152894</v>
      </c>
      <c r="J24" s="166" t="n">
        <v>153105</v>
      </c>
      <c r="K24" s="166">
        <f>J24-I24</f>
        <v/>
      </c>
      <c r="L24" s="166" t="n">
        <v>22643</v>
      </c>
      <c r="M24" s="166" t="n">
        <v>0</v>
      </c>
      <c r="Q24" s="12">
        <f>IF(F24&lt;$Q$8,$Q$8-F24,0)</f>
        <v/>
      </c>
      <c r="R24" s="12">
        <f>IF(G24&gt;$R$8,G24-$R$8,0)</f>
        <v/>
      </c>
      <c r="S24" s="167">
        <f>(HOUR(Q24)*60+MINUTE(Q24))+(HOUR(R24)*60+MINUTE(R24))-H24</f>
        <v/>
      </c>
      <c r="T24" s="168">
        <f>(HOUR(Q24)*60+MINUTE(Q24))+(HOUR(R24)*60+MINUTE(R24))</f>
        <v/>
      </c>
    </row>
    <row r="25" ht="21" customHeight="1">
      <c r="A25" s="60" t="n"/>
      <c r="B25" s="60">
        <f>TEXT(C25,"dddd")</f>
        <v/>
      </c>
      <c r="C25" s="61" t="inlineStr">
        <is>
          <t>14/11/2025</t>
        </is>
      </c>
      <c r="D25" s="60" t="inlineStr">
        <is>
          <t>Trần Phạm Danh Tánh</t>
        </is>
      </c>
      <c r="E25" s="143" t="inlineStr">
        <is>
          <t>BX-AN PHÚ-FURSIKIRA-BIÊN HÒA-BX</t>
        </is>
      </c>
      <c r="F25" s="63" t="n">
        <v>0.2291666666666667</v>
      </c>
      <c r="G25" s="63" t="n">
        <v>0.8125</v>
      </c>
      <c r="H25" s="166">
        <f>T25</f>
        <v/>
      </c>
      <c r="I25" s="166" t="n">
        <v>153105</v>
      </c>
      <c r="J25" s="166" t="n">
        <v>153190</v>
      </c>
      <c r="K25" s="166">
        <f>J25-I25</f>
        <v/>
      </c>
      <c r="L25" s="166" t="n"/>
      <c r="M25" s="166" t="n">
        <v>0</v>
      </c>
      <c r="Q25" s="12">
        <f>IF(F25&lt;$Q$8,$Q$8-F25,0)</f>
        <v/>
      </c>
      <c r="R25" s="12">
        <f>IF(G25&gt;$R$8,G25-$R$8,0)</f>
        <v/>
      </c>
      <c r="S25" s="167">
        <f>(HOUR(Q25)*60+MINUTE(Q25))+(HOUR(R25)*60+MINUTE(R25))-H25</f>
        <v/>
      </c>
      <c r="T25" s="168">
        <f>(HOUR(Q25)*60+MINUTE(Q25))+(HOUR(R25)*60+MINUTE(R25))</f>
        <v/>
      </c>
    </row>
    <row r="26" ht="21" customHeight="1">
      <c r="A26" s="60" t="n"/>
      <c r="B26" s="60">
        <f>TEXT(C26,"dddd")</f>
        <v/>
      </c>
      <c r="C26" s="61" t="inlineStr">
        <is>
          <t>17/11/2025</t>
        </is>
      </c>
      <c r="D26" s="60" t="inlineStr">
        <is>
          <t>Trần Phạm Danh Tánh</t>
        </is>
      </c>
      <c r="E26" s="143" t="inlineStr">
        <is>
          <t>BX-VP-MỸ PHƯỚC-VP-BÌNH LONG-VPBX</t>
        </is>
      </c>
      <c r="F26" s="63" t="n">
        <v>0.3125</v>
      </c>
      <c r="G26" s="63" t="n">
        <v>0.75</v>
      </c>
      <c r="H26" s="166">
        <f>T26</f>
        <v/>
      </c>
      <c r="I26" s="166" t="n">
        <v>153190</v>
      </c>
      <c r="J26" s="166" t="n">
        <v>153326</v>
      </c>
      <c r="K26" s="166">
        <f>J26-I26</f>
        <v/>
      </c>
      <c r="L26" s="166" t="n">
        <v>14727</v>
      </c>
      <c r="M26" s="166" t="n">
        <v>0</v>
      </c>
      <c r="Q26" s="12">
        <f>IF(F26&lt;$Q$8,$Q$8-F26,0)</f>
        <v/>
      </c>
      <c r="R26" s="12">
        <f>IF(G26&gt;$R$8,G26-$R$8,0)</f>
        <v/>
      </c>
      <c r="S26" s="167">
        <f>(HOUR(Q26)*60+MINUTE(Q26))+(HOUR(R26)*60+MINUTE(R26))-H26</f>
        <v/>
      </c>
      <c r="T26" s="168">
        <f>(HOUR(Q26)*60+MINUTE(Q26))+(HOUR(R26)*60+MINUTE(R26))</f>
        <v/>
      </c>
    </row>
    <row r="27" ht="21" customHeight="1">
      <c r="A27" s="60" t="n"/>
      <c r="B27" s="60">
        <f>TEXT(C27,"dddd")</f>
        <v/>
      </c>
      <c r="C27" s="61" t="inlineStr">
        <is>
          <t>18/11/2025</t>
        </is>
      </c>
      <c r="D27" s="60" t="inlineStr">
        <is>
          <t>Trần Phạm Danh Tánh</t>
        </is>
      </c>
      <c r="E27" s="143" t="inlineStr">
        <is>
          <t>BX-VP-TÂN PHÚ-VP-BX</t>
        </is>
      </c>
      <c r="F27" s="63" t="n">
        <v>0.2708333333333333</v>
      </c>
      <c r="G27" s="63" t="n">
        <v>0.7708333333333334</v>
      </c>
      <c r="H27" s="166">
        <f>T27</f>
        <v/>
      </c>
      <c r="I27" s="166" t="n">
        <v>153326</v>
      </c>
      <c r="J27" s="166" t="n">
        <v>153426</v>
      </c>
      <c r="K27" s="166">
        <f>J27-I27</f>
        <v/>
      </c>
      <c r="L27" s="166" t="n">
        <v>44181</v>
      </c>
      <c r="M27" s="166" t="n">
        <v>0</v>
      </c>
      <c r="Q27" s="12">
        <f>IF(F27&lt;$Q$8,$Q$8-F27,0)</f>
        <v/>
      </c>
      <c r="R27" s="12">
        <f>IF(G27&gt;$R$8,G27-$R$8,0)</f>
        <v/>
      </c>
      <c r="S27" s="167">
        <f>(HOUR(Q27)*60+MINUTE(Q27))+(HOUR(R27)*60+MINUTE(R27))-H27</f>
        <v/>
      </c>
      <c r="T27" s="168">
        <f>(HOUR(Q27)*60+MINUTE(Q27))+(HOUR(R27)*60+MINUTE(R27))</f>
        <v/>
      </c>
    </row>
    <row r="28" ht="21" customHeight="1">
      <c r="A28" s="60" t="n"/>
      <c r="B28" s="60">
        <f>TEXT(C28,"dddd")</f>
        <v/>
      </c>
      <c r="C28" s="61" t="inlineStr">
        <is>
          <t>19/11/2025</t>
        </is>
      </c>
      <c r="D28" s="60" t="inlineStr">
        <is>
          <t>Trần Phạm Danh Tánh</t>
        </is>
      </c>
      <c r="E28" s="143" t="inlineStr">
        <is>
          <t>BX-VP-HAVA-VP-BX</t>
        </is>
      </c>
      <c r="F28" s="63" t="n">
        <v>0.2291666666666667</v>
      </c>
      <c r="G28" s="63" t="n">
        <v>0.875</v>
      </c>
      <c r="H28" s="166">
        <f>T28</f>
        <v/>
      </c>
      <c r="I28" s="166" t="n">
        <v>153426</v>
      </c>
      <c r="J28" s="166" t="n">
        <v>153617</v>
      </c>
      <c r="K28" s="166">
        <f>J28-I28</f>
        <v/>
      </c>
      <c r="L28" s="166" t="n">
        <v>22643</v>
      </c>
      <c r="M28" s="166" t="n">
        <v>0</v>
      </c>
      <c r="Q28" s="12">
        <f>IF(F28&lt;$Q$8,$Q$8-F28,0)</f>
        <v/>
      </c>
      <c r="R28" s="12">
        <f>IF(G28&gt;$R$8,G28-$R$8,0)</f>
        <v/>
      </c>
      <c r="S28" s="167">
        <f>(HOUR(Q28)*60+MINUTE(Q28))+(HOUR(R28)*60+MINUTE(R28))-H28</f>
        <v/>
      </c>
      <c r="T28" s="168">
        <f>(HOUR(Q28)*60+MINUTE(Q28))+(HOUR(R28)*60+MINUTE(R28))</f>
        <v/>
      </c>
    </row>
    <row r="29" ht="21" customHeight="1">
      <c r="A29" s="60" t="n"/>
      <c r="B29" s="60">
        <f>TEXT(C29,"dddd")</f>
        <v/>
      </c>
      <c r="C29" s="61" t="inlineStr">
        <is>
          <t>20/11/2025</t>
        </is>
      </c>
      <c r="D29" s="60" t="inlineStr">
        <is>
          <t>Trần Phạm Danh Tánh</t>
        </is>
      </c>
      <c r="E29" s="143" t="inlineStr">
        <is>
          <t>BX-VP-ARAKAWA-GV-BX</t>
        </is>
      </c>
      <c r="F29" s="63" t="n">
        <v>0.21875</v>
      </c>
      <c r="G29" s="63" t="n">
        <v>0.8541666666666666</v>
      </c>
      <c r="H29" s="166">
        <f>T29</f>
        <v/>
      </c>
      <c r="I29" s="166" t="n">
        <v>153617</v>
      </c>
      <c r="J29" s="166" t="n">
        <v>153882</v>
      </c>
      <c r="K29" s="166">
        <f>J29-I29</f>
        <v/>
      </c>
      <c r="L29" s="166" t="n">
        <v>24545</v>
      </c>
      <c r="M29" s="166" t="n">
        <v>0</v>
      </c>
      <c r="Q29" s="12">
        <f>IF(F29&lt;$Q$8,$Q$8-F29,0)</f>
        <v/>
      </c>
      <c r="R29" s="12">
        <f>IF(G29&gt;$R$8,G29-$R$8,0)</f>
        <v/>
      </c>
      <c r="S29" s="167">
        <f>(HOUR(Q29)*60+MINUTE(Q29))+(HOUR(R29)*60+MINUTE(R29))-H29</f>
        <v/>
      </c>
      <c r="T29" s="168">
        <f>(HOUR(Q29)*60+MINUTE(Q29))+(HOUR(R29)*60+MINUTE(R29))</f>
        <v/>
      </c>
    </row>
    <row r="30" ht="21" customHeight="1">
      <c r="A30" s="72" t="n"/>
      <c r="B30" s="72">
        <f>TEXT(C30,"dddd")</f>
        <v/>
      </c>
      <c r="C30" s="73" t="inlineStr">
        <is>
          <t>21/11/2025</t>
        </is>
      </c>
      <c r="D30" s="60" t="inlineStr">
        <is>
          <t>Trần Phạm Danh Tánh</t>
        </is>
      </c>
      <c r="E30" s="144" t="inlineStr">
        <is>
          <t>BX-VP-ARAKAWA-VP-BX</t>
        </is>
      </c>
      <c r="F30" s="63" t="n">
        <v>0.21875</v>
      </c>
      <c r="G30" s="63" t="n">
        <v>0.8541666666666666</v>
      </c>
      <c r="H30" s="166">
        <f>T30</f>
        <v/>
      </c>
      <c r="I30" s="166" t="n">
        <v>153882</v>
      </c>
      <c r="J30" s="172" t="n">
        <v>154109</v>
      </c>
      <c r="K30" s="166">
        <f>J30-I30</f>
        <v/>
      </c>
      <c r="L30" s="172" t="n">
        <v>87375</v>
      </c>
      <c r="M30" s="172" t="n"/>
      <c r="Q30" s="12">
        <f>IF(F30&lt;$Q$8,$Q$8-F30,0)</f>
        <v/>
      </c>
      <c r="R30" s="12">
        <f>IF(G30&gt;$R$8,G30-$R$8,0)</f>
        <v/>
      </c>
      <c r="S30" s="167">
        <f>(HOUR(Q30)*60+MINUTE(Q30))+(HOUR(R30)*60+MINUTE(R30))-H30</f>
        <v/>
      </c>
      <c r="T30" s="168">
        <f>(HOUR(Q30)*60+MINUTE(Q30))+(HOUR(R30)*60+MINUTE(R30))</f>
        <v/>
      </c>
    </row>
    <row r="31" ht="21" customHeight="1">
      <c r="A31" s="72" t="n"/>
      <c r="B31" s="72">
        <f>TEXT(C31,"dddd")</f>
        <v/>
      </c>
      <c r="C31" s="73" t="inlineStr">
        <is>
          <t>24/11/2025</t>
        </is>
      </c>
      <c r="D31" s="60" t="inlineStr">
        <is>
          <t>Trần Phạm Danh Tánh</t>
        </is>
      </c>
      <c r="E31" s="151" t="inlineStr">
        <is>
          <t>BX-VP-MỸ PHƯỚC-VP-BX</t>
        </is>
      </c>
      <c r="F31" s="63" t="n">
        <v>0.2708333333333333</v>
      </c>
      <c r="G31" s="63" t="n">
        <v>0.75</v>
      </c>
      <c r="H31" s="166">
        <f>T31</f>
        <v/>
      </c>
      <c r="I31" s="172" t="n">
        <v>154109</v>
      </c>
      <c r="J31" s="172" t="n">
        <v>154187</v>
      </c>
      <c r="K31" s="172">
        <f>J31-I31</f>
        <v/>
      </c>
      <c r="L31" s="172" t="n">
        <v>29454</v>
      </c>
      <c r="M31" s="172" t="n"/>
      <c r="Q31" s="12">
        <f>IF(F31&lt;$Q$8,$Q$8-F31,0)</f>
        <v/>
      </c>
      <c r="R31" s="12">
        <f>IF(G31&gt;$R$8,G31-$R$8,0)</f>
        <v/>
      </c>
      <c r="S31" s="167">
        <f>(HOUR(Q31)*60+MINUTE(Q31))+(HOUR(R31)*60+MINUTE(R31))-H31</f>
        <v/>
      </c>
      <c r="T31" s="168">
        <f>(HOUR(Q31)*60+MINUTE(Q31))+(HOUR(R31)*60+MINUTE(R31))</f>
        <v/>
      </c>
    </row>
    <row r="32" ht="21" customHeight="1">
      <c r="A32" s="72" t="n"/>
      <c r="B32" s="72">
        <f>TEXT(C32,"dddd")</f>
        <v/>
      </c>
      <c r="C32" s="73" t="inlineStr">
        <is>
          <t>25/10/2025</t>
        </is>
      </c>
      <c r="D32" s="60" t="inlineStr">
        <is>
          <t>Trần Phạm Danh Tánh</t>
        </is>
      </c>
      <c r="E32" s="144" t="inlineStr">
        <is>
          <t>BX-VP-ANSELL-VP-CT-VP-CT-SÂN BAY-BX</t>
        </is>
      </c>
      <c r="F32" s="63" t="n">
        <v>0.3125</v>
      </c>
      <c r="G32" s="63" t="n">
        <v>0.8541666666666666</v>
      </c>
      <c r="H32" s="166">
        <f>T32</f>
        <v/>
      </c>
      <c r="I32" s="172" t="n">
        <v>154187</v>
      </c>
      <c r="J32" s="172" t="n">
        <v>154353</v>
      </c>
      <c r="K32" s="172">
        <f>J32-I32</f>
        <v/>
      </c>
      <c r="L32" s="172" t="n">
        <v>29454</v>
      </c>
      <c r="M32" s="172" t="n"/>
      <c r="Q32" s="12">
        <f>IF(F32&lt;$Q$8,$Q$8-F32,0)</f>
        <v/>
      </c>
      <c r="R32" s="12">
        <f>IF(G32&gt;$R$8,G32-$R$8,0)</f>
        <v/>
      </c>
      <c r="S32" s="167">
        <f>(HOUR(Q32)*60+MINUTE(Q32))+(HOUR(R32)*60+MINUTE(R32))-H32</f>
        <v/>
      </c>
      <c r="T32" s="168">
        <f>(HOUR(Q32)*60+MINUTE(Q32))+(HOUR(R32)*60+MINUTE(R32))</f>
        <v/>
      </c>
    </row>
    <row r="33" ht="21" customHeight="1">
      <c r="A33" s="72" t="n"/>
      <c r="B33" s="72" t="n"/>
      <c r="C33" s="73" t="n"/>
      <c r="D33" s="72" t="n"/>
      <c r="E33" s="144" t="n"/>
      <c r="F33" s="63" t="n"/>
      <c r="G33" s="63" t="n"/>
      <c r="H33" s="166" t="n"/>
      <c r="I33" s="172" t="n"/>
      <c r="J33" s="172" t="n"/>
      <c r="K33" s="172" t="n"/>
      <c r="L33" s="172" t="n"/>
      <c r="M33" s="172" t="n"/>
      <c r="Q33" s="12" t="n"/>
      <c r="R33" s="12" t="n"/>
      <c r="S33" s="167" t="n"/>
      <c r="T33" s="168" t="n"/>
    </row>
    <row r="34" ht="21" customHeight="1">
      <c r="A34" s="72" t="n"/>
      <c r="B34" s="72" t="n"/>
      <c r="C34" s="73" t="n"/>
      <c r="D34" s="72" t="n"/>
      <c r="E34" s="144" t="n"/>
      <c r="F34" s="63" t="n"/>
      <c r="G34" s="63" t="n"/>
      <c r="H34" s="166" t="n"/>
      <c r="I34" s="172" t="n"/>
      <c r="J34" s="172" t="n"/>
      <c r="K34" s="172" t="n"/>
      <c r="L34" s="172" t="n"/>
      <c r="M34" s="172" t="n"/>
      <c r="Q34" s="12" t="n"/>
      <c r="R34" s="12" t="n"/>
      <c r="S34" s="167" t="n"/>
      <c r="T34" s="168" t="n"/>
    </row>
    <row r="35" ht="29.25" customHeight="1">
      <c r="A35" s="77" t="n"/>
      <c r="B35" s="77" t="n"/>
      <c r="C35" s="78" t="n"/>
      <c r="D35" s="77" t="n"/>
      <c r="E35" s="79" t="inlineStr">
        <is>
          <t>Tổng cộng</t>
        </is>
      </c>
      <c r="F35" s="80" t="n"/>
      <c r="G35" s="80" t="n"/>
      <c r="H35" s="173">
        <f>SUM(H9:H34)</f>
        <v/>
      </c>
      <c r="I35" s="173" t="n"/>
      <c r="J35" s="173" t="n"/>
      <c r="K35" s="173">
        <f>SUM(K9:K34)</f>
        <v/>
      </c>
      <c r="L35" s="173">
        <f>SUM(L9:L34)</f>
        <v/>
      </c>
      <c r="M35" s="173">
        <f>SUM(M9:M34)</f>
        <v/>
      </c>
      <c r="S35" s="5">
        <f>SumOverTime_Ex/60</f>
        <v/>
      </c>
    </row>
    <row r="36" ht="26.4" customFormat="1" customHeight="1" s="67">
      <c r="A36" s="81" t="inlineStr">
        <is>
          <t>STT</t>
        </is>
      </c>
      <c r="B36" s="82" t="n"/>
      <c r="C36" s="175" t="inlineStr">
        <is>
          <t>NỘI DUNG</t>
        </is>
      </c>
      <c r="J36" s="176" t="n"/>
      <c r="K36" s="177" t="inlineStr">
        <is>
          <t>SỐ LƯỢNG</t>
        </is>
      </c>
      <c r="L36" s="178" t="inlineStr">
        <is>
          <t>ĐƠN GIÁ</t>
        </is>
      </c>
      <c r="M36" s="179" t="inlineStr">
        <is>
          <t>THÀNH TIỀN</t>
        </is>
      </c>
    </row>
    <row r="37" ht="23.25" customHeight="1">
      <c r="A37" s="16" t="n">
        <v>1</v>
      </c>
      <c r="B37" s="16" t="n"/>
      <c r="C37" s="119" t="inlineStr">
        <is>
          <t xml:space="preserve">Cước tháng/ Monthly fee   (2.600km/26ngày) </t>
        </is>
      </c>
      <c r="D37" s="180" t="n"/>
      <c r="E37" s="180" t="n"/>
      <c r="F37" s="180" t="n"/>
      <c r="G37" s="180" t="n"/>
      <c r="H37" s="180" t="n"/>
      <c r="I37" s="180" t="n"/>
      <c r="J37" s="181" t="n"/>
      <c r="K37" s="182" t="n">
        <v>1</v>
      </c>
      <c r="L37" s="183" t="n">
        <v>27000000</v>
      </c>
      <c r="M37" s="184">
        <f>L37*K37</f>
        <v/>
      </c>
    </row>
    <row r="38" ht="23.25" customHeight="1">
      <c r="A38" s="16" t="n">
        <v>2</v>
      </c>
      <c r="B38" s="16" t="n"/>
      <c r="C38" s="121" t="inlineStr">
        <is>
          <t xml:space="preserve">Tăng cường chủ nhật: </t>
        </is>
      </c>
      <c r="D38" s="180" t="n"/>
      <c r="E38" s="180" t="n"/>
      <c r="F38" s="180" t="n"/>
      <c r="G38" s="180" t="n"/>
      <c r="H38" s="180" t="n"/>
      <c r="I38" s="180" t="n"/>
      <c r="J38" s="181" t="n"/>
      <c r="K38" s="185" t="n">
        <v>1</v>
      </c>
      <c r="L38" s="186" t="n">
        <v>1200000</v>
      </c>
      <c r="M38" s="184">
        <f>L38*K38</f>
        <v/>
      </c>
    </row>
    <row r="39" ht="23.25" customHeight="1">
      <c r="A39" s="16" t="n"/>
      <c r="B39" s="16" t="n"/>
      <c r="C39" s="121" t="inlineStr">
        <is>
          <t>Lưu đêm</t>
        </is>
      </c>
      <c r="D39" s="180" t="n"/>
      <c r="E39" s="180" t="n"/>
      <c r="F39" s="180" t="n"/>
      <c r="G39" s="180" t="n"/>
      <c r="H39" s="180" t="n"/>
      <c r="I39" s="180" t="n"/>
      <c r="J39" s="181" t="n"/>
      <c r="K39" s="185" t="n">
        <v>1</v>
      </c>
      <c r="L39" s="186" t="n">
        <v>300000</v>
      </c>
      <c r="M39" s="184">
        <f>L39*K39</f>
        <v/>
      </c>
    </row>
    <row r="40" ht="23.25" customHeight="1">
      <c r="A40" s="16" t="n">
        <v>3</v>
      </c>
      <c r="B40" s="16" t="n"/>
      <c r="C40" s="106" t="inlineStr">
        <is>
          <t xml:space="preserve">Km vượt/Extra K/M </t>
        </is>
      </c>
      <c r="D40" s="180" t="n"/>
      <c r="E40" s="180" t="n"/>
      <c r="F40" s="180" t="n"/>
      <c r="G40" s="180" t="n"/>
      <c r="H40" s="180" t="n"/>
      <c r="I40" s="180" t="n"/>
      <c r="J40" s="181" t="n"/>
      <c r="K40" s="187">
        <f>K35-2600-100*1</f>
        <v/>
      </c>
      <c r="L40" s="183" t="n">
        <v>7000</v>
      </c>
      <c r="M40" s="184">
        <f>L40*K40</f>
        <v/>
      </c>
    </row>
    <row r="41" ht="23.25" customHeight="1">
      <c r="A41" s="16" t="n">
        <v>4</v>
      </c>
      <c r="B41" s="16" t="n"/>
      <c r="C41" s="106" t="inlineStr">
        <is>
          <t>Giờ vượt/Overtime =  số giờ*60.000</t>
        </is>
      </c>
      <c r="D41" s="180" t="n"/>
      <c r="E41" s="180" t="n"/>
      <c r="F41" s="180" t="n"/>
      <c r="G41" s="180" t="n"/>
      <c r="H41" s="180" t="n"/>
      <c r="I41" s="180" t="n"/>
      <c r="J41" s="181" t="n"/>
      <c r="K41" s="187">
        <f>H35/60</f>
        <v/>
      </c>
      <c r="L41" s="183" t="n">
        <v>70000</v>
      </c>
      <c r="M41" s="184">
        <f>L41*K41</f>
        <v/>
      </c>
    </row>
    <row r="42" ht="23.25" customHeight="1">
      <c r="A42" s="16" t="n">
        <v>5</v>
      </c>
      <c r="B42" s="16" t="n"/>
      <c r="C42" s="106" t="inlineStr">
        <is>
          <t>Vé giao thông</t>
        </is>
      </c>
      <c r="D42" s="180" t="n"/>
      <c r="E42" s="180" t="n"/>
      <c r="F42" s="180" t="n"/>
      <c r="G42" s="180" t="n"/>
      <c r="H42" s="180" t="n"/>
      <c r="I42" s="180" t="n"/>
      <c r="J42" s="181" t="n"/>
      <c r="K42" s="188" t="n"/>
      <c r="L42" s="184" t="n"/>
      <c r="M42" s="184">
        <f>L35/1.08</f>
        <v/>
      </c>
    </row>
    <row r="43" ht="23.25" customHeight="1">
      <c r="A43" s="123" t="inlineStr">
        <is>
          <t xml:space="preserve">THÀNH TIỀN </t>
        </is>
      </c>
      <c r="B43" s="180" t="n"/>
      <c r="C43" s="180" t="n"/>
      <c r="D43" s="180" t="n"/>
      <c r="E43" s="180" t="n"/>
      <c r="F43" s="180" t="n"/>
      <c r="G43" s="180" t="n"/>
      <c r="H43" s="180" t="n"/>
      <c r="I43" s="180" t="n"/>
      <c r="J43" s="180" t="n"/>
      <c r="K43" s="180" t="n"/>
      <c r="L43" s="181" t="n"/>
      <c r="M43" s="184">
        <f>SUM(M37:M42)</f>
        <v/>
      </c>
    </row>
    <row r="44" ht="23.25" customHeight="1">
      <c r="A44" s="123" t="inlineStr">
        <is>
          <t>THUẾ VAT 8%</t>
        </is>
      </c>
      <c r="B44" s="180" t="n"/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1" t="n"/>
      <c r="M44" s="184">
        <f>M43*0.08</f>
        <v/>
      </c>
    </row>
    <row r="45" ht="23.25" customHeight="1">
      <c r="A45" s="189" t="inlineStr">
        <is>
          <t>TỔNG CỘNG</t>
        </is>
      </c>
      <c r="L45" s="176" t="n"/>
      <c r="M45" s="190">
        <f>SUM(M43:M44)</f>
        <v/>
      </c>
      <c r="V45" s="5">
        <f>60*17</f>
        <v/>
      </c>
    </row>
    <row r="46" ht="23.25" customHeight="1">
      <c r="A46" s="26" t="inlineStr">
        <is>
          <t>Bằng Chữ:</t>
        </is>
      </c>
      <c r="B46" s="26" t="n"/>
      <c r="C46" s="191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0" t="n"/>
      <c r="M46" s="181" t="n"/>
    </row>
    <row r="47">
      <c r="A47" s="27" t="n"/>
      <c r="B47" s="27" t="n"/>
      <c r="C47" s="28" t="n"/>
      <c r="D47" s="27" t="n"/>
      <c r="E47" s="27" t="n"/>
      <c r="F47" s="27" t="n"/>
      <c r="G47" s="27" t="n"/>
      <c r="H47" s="156" t="n"/>
      <c r="I47" s="156" t="n"/>
      <c r="J47" s="192" t="n"/>
      <c r="K47" s="156" t="n"/>
      <c r="L47" s="156" t="n"/>
      <c r="M47" s="156" t="n"/>
    </row>
    <row r="48" ht="45.75" customHeight="1">
      <c r="A48" s="132" t="inlineStr">
        <is>
          <t>CÔNG TY TNHH GOSHU KOHSAN ( VIỆT NAM )</t>
        </is>
      </c>
      <c r="F48" s="30" t="n"/>
      <c r="G48" s="30" t="n"/>
      <c r="H48" s="192" t="n"/>
      <c r="I48" s="193" t="inlineStr">
        <is>
          <t>CÔNG TY TNHH DỊCH VỤ DU LỊCH XUÂN THẢO</t>
        </is>
      </c>
    </row>
    <row r="49">
      <c r="A49" s="27" t="n"/>
      <c r="B49" s="27" t="n"/>
      <c r="C49" s="28" t="n"/>
      <c r="D49" s="27" t="n"/>
      <c r="E49" s="27" t="n"/>
      <c r="F49" s="27" t="n"/>
      <c r="G49" s="27" t="n"/>
      <c r="H49" s="156" t="n"/>
      <c r="I49" s="156" t="n"/>
      <c r="J49" s="156" t="n"/>
      <c r="K49" s="154" t="n"/>
      <c r="L49" s="154" t="n"/>
      <c r="M49" s="154" t="n"/>
    </row>
    <row r="50">
      <c r="C50" s="32" t="n"/>
    </row>
    <row r="51">
      <c r="C51" s="32" t="n"/>
    </row>
    <row r="52">
      <c r="C52" s="32" t="n"/>
    </row>
    <row r="53">
      <c r="C53" s="32" t="n"/>
    </row>
    <row r="54">
      <c r="C54" s="32" t="n"/>
    </row>
    <row r="55">
      <c r="C55" s="32" t="n"/>
      <c r="I55" s="194" t="n"/>
    </row>
    <row r="56">
      <c r="C56" s="32" t="n"/>
    </row>
    <row r="57">
      <c r="C57" s="32" t="n"/>
    </row>
    <row r="58">
      <c r="C58" s="32" t="n"/>
    </row>
    <row r="59">
      <c r="C59" s="32" t="n"/>
    </row>
    <row r="60">
      <c r="C60" s="32" t="n"/>
    </row>
    <row r="61">
      <c r="C61" s="32" t="n"/>
    </row>
    <row r="62">
      <c r="C62" s="32" t="n"/>
    </row>
    <row r="63">
      <c r="C63" s="32" t="n"/>
    </row>
    <row r="64">
      <c r="C64" s="32" t="n"/>
    </row>
    <row r="65">
      <c r="C65" s="32" t="n"/>
    </row>
    <row r="66">
      <c r="C66" s="32" t="n"/>
    </row>
    <row r="67">
      <c r="C67" s="32" t="n"/>
    </row>
    <row r="68">
      <c r="C68" s="32" t="n"/>
    </row>
    <row r="69">
      <c r="C69" s="32" t="n"/>
    </row>
    <row r="70">
      <c r="C70" s="32" t="n"/>
    </row>
    <row r="71">
      <c r="C71" s="32" t="n"/>
    </row>
    <row r="72">
      <c r="C72" s="32" t="n"/>
    </row>
    <row r="73">
      <c r="C73" s="32" t="n"/>
    </row>
    <row r="74">
      <c r="C74" s="32" t="n"/>
    </row>
    <row r="75">
      <c r="C75" s="32" t="n"/>
    </row>
    <row r="76">
      <c r="C76" s="32" t="n"/>
    </row>
    <row r="77">
      <c r="C77" s="32" t="n"/>
    </row>
    <row r="78">
      <c r="C78" s="32" t="n"/>
    </row>
    <row r="79">
      <c r="C79" s="32" t="n"/>
    </row>
    <row r="80">
      <c r="C80" s="32" t="n"/>
    </row>
    <row r="81">
      <c r="C81" s="32" t="n"/>
    </row>
    <row r="82">
      <c r="C82" s="32" t="n"/>
    </row>
    <row r="83">
      <c r="C83" s="32" t="n"/>
    </row>
    <row r="84">
      <c r="C84" s="32" t="n"/>
    </row>
  </sheetData>
  <autoFilter ref="A8:M46"/>
  <mergeCells count="20">
    <mergeCell ref="A48:E48"/>
    <mergeCell ref="A5:M5"/>
    <mergeCell ref="C42:J42"/>
    <mergeCell ref="A1:E1"/>
    <mergeCell ref="C41:J41"/>
    <mergeCell ref="C40:J40"/>
    <mergeCell ref="A3:E3"/>
    <mergeCell ref="A43:L43"/>
    <mergeCell ref="A2:E2"/>
    <mergeCell ref="A6:M6"/>
    <mergeCell ref="I55:M55"/>
    <mergeCell ref="C46:M46"/>
    <mergeCell ref="A44:L44"/>
    <mergeCell ref="C36:J36"/>
    <mergeCell ref="C39:J39"/>
    <mergeCell ref="I48:M48"/>
    <mergeCell ref="A4:E4"/>
    <mergeCell ref="A45:L45"/>
    <mergeCell ref="C38:J38"/>
    <mergeCell ref="C37:J37"/>
  </mergeCells>
  <pageMargins left="0.7" right="0.7" top="0.75" bottom="0.75" header="0.3" footer="0.3"/>
  <pageSetup orientation="portrait" paperSize="9" scale="5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Châu Long Nguyễn</dc:creator>
  <dcterms:created xsi:type="dcterms:W3CDTF">2025-09-25T20:03:10Z</dcterms:created>
  <dcterms:modified xsi:type="dcterms:W3CDTF">2025-12-13T06:39:57Z</dcterms:modified>
  <cp:lastModifiedBy>Châu Long/LIBRA VIỆT NAM</cp:lastModifiedBy>
</cp:coreProperties>
</file>